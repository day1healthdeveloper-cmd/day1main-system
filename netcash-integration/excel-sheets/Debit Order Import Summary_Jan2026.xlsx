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queryTables/queryTable10.xml" ContentType="application/vnd.openxmlformats-officedocument.spreadsheetml.queryTable+xml"/>
  <Override PartName="/xl/tables/table13.xml" ContentType="application/vnd.openxmlformats-officedocument.spreadsheetml.table+xml"/>
  <Override PartName="/xl/queryTables/queryTable11.xml" ContentType="application/vnd.openxmlformats-officedocument.spreadsheetml.queryTable+xml"/>
  <Override PartName="/xl/tables/table14.xml" ContentType="application/vnd.openxmlformats-officedocument.spreadsheetml.table+xml"/>
  <Override PartName="/xl/queryTables/queryTable12.xml" ContentType="application/vnd.openxmlformats-officedocument.spreadsheetml.queryTable+xml"/>
  <Override PartName="/xl/tables/table15.xml" ContentType="application/vnd.openxmlformats-officedocument.spreadsheetml.table+xml"/>
  <Override PartName="/xl/queryTables/queryTable13.xml" ContentType="application/vnd.openxmlformats-officedocument.spreadsheetml.queryTable+xml"/>
  <Override PartName="/xl/tables/table16.xml" ContentType="application/vnd.openxmlformats-officedocument.spreadsheetml.table+xml"/>
  <Override PartName="/xl/queryTables/queryTable14.xml" ContentType="application/vnd.openxmlformats-officedocument.spreadsheetml.queryTable+xml"/>
  <Override PartName="/xl/tables/table17.xml" ContentType="application/vnd.openxmlformats-officedocument.spreadsheetml.table+xml"/>
  <Override PartName="/xl/queryTables/queryTable15.xml" ContentType="application/vnd.openxmlformats-officedocument.spreadsheetml.queryTable+xml"/>
  <Override PartName="/xl/tables/table18.xml" ContentType="application/vnd.openxmlformats-officedocument.spreadsheetml.table+xml"/>
  <Override PartName="/xl/queryTables/queryTable16.xml" ContentType="application/vnd.openxmlformats-officedocument.spreadsheetml.queryTable+xml"/>
  <Override PartName="/xl/tables/table19.xml" ContentType="application/vnd.openxmlformats-officedocument.spreadsheetml.table+xml"/>
  <Override PartName="/xl/queryTables/queryTable17.xml" ContentType="application/vnd.openxmlformats-officedocument.spreadsheetml.queryTable+xml"/>
  <Override PartName="/xl/tables/table20.xml" ContentType="application/vnd.openxmlformats-officedocument.spreadsheetml.table+xml"/>
  <Override PartName="/xl/queryTables/queryTable18.xml" ContentType="application/vnd.openxmlformats-officedocument.spreadsheetml.queryTable+xml"/>
  <Override PartName="/xl/tables/table21.xml" ContentType="application/vnd.openxmlformats-officedocument.spreadsheetml.table+xml"/>
  <Override PartName="/xl/queryTables/queryTable19.xml" ContentType="application/vnd.openxmlformats-officedocument.spreadsheetml.queryTable+xml"/>
  <Override PartName="/xl/tables/table22.xml" ContentType="application/vnd.openxmlformats-officedocument.spreadsheetml.table+xml"/>
  <Override PartName="/xl/queryTables/queryTable2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-my.sharepoint.com/personal/belinda_day1health_onmicrosoft_com/Documents/DAY 1 HEALTH/Operational Admin/Debit Order/"/>
    </mc:Choice>
  </mc:AlternateContent>
  <xr:revisionPtr revIDLastSave="503" documentId="8_{10D77EB9-6FFD-418B-8B38-234C0AB197A1}" xr6:coauthVersionLast="47" xr6:coauthVersionMax="47" xr10:uidLastSave="{F08E84BF-42A6-4909-B889-B0174F688A35}"/>
  <bookViews>
    <workbookView xWindow="-110" yWindow="-110" windowWidth="19420" windowHeight="10300" tabRatio="714" xr2:uid="{880C7F72-6D8B-4782-9D87-5A2486591261}"/>
  </bookViews>
  <sheets>
    <sheet name="Summary" sheetId="1" r:id="rId1"/>
    <sheet name="ACU" sheetId="20" r:id="rId2"/>
    <sheet name="AIB" sheetId="2" r:id="rId3"/>
    <sheet name="ARC" sheetId="3" r:id="rId4"/>
    <sheet name="AXS" sheetId="4" r:id="rId5"/>
    <sheet name="BOU" sheetId="21" r:id="rId6"/>
    <sheet name="BPO" sheetId="6" r:id="rId7"/>
    <sheet name="CSS" sheetId="7" r:id="rId8"/>
    <sheet name="MAM" sheetId="19" r:id="rId9"/>
    <sheet name="MED" sheetId="8" r:id="rId10"/>
    <sheet name="MEM" sheetId="22" r:id="rId11"/>
    <sheet name="MKT" sheetId="9" r:id="rId12"/>
    <sheet name="MTS" sheetId="10" r:id="rId13"/>
    <sheet name="NAV" sheetId="11" r:id="rId14"/>
    <sheet name="NUM{THR}" sheetId="23" r:id="rId15"/>
    <sheet name="PAR" sheetId="14" r:id="rId16"/>
    <sheet name="RAN" sheetId="15" r:id="rId17"/>
    <sheet name="RCO" sheetId="16" r:id="rId18"/>
    <sheet name="SA" sheetId="18" r:id="rId19"/>
    <sheet name="TFG" sheetId="24" r:id="rId20"/>
    <sheet name="TLD" sheetId="25" r:id="rId21"/>
  </sheets>
  <definedNames>
    <definedName name="ExternalData_1" localSheetId="1" hidden="1">ACU!$A$2:$I$33</definedName>
    <definedName name="ExternalData_1" localSheetId="2" hidden="1">AIB!$A$2:$I$33</definedName>
    <definedName name="ExternalData_1" localSheetId="4" hidden="1">AXS!$A$2:$I$33</definedName>
    <definedName name="ExternalData_1" localSheetId="5" hidden="1">BOU!$A$2:$I$33</definedName>
    <definedName name="ExternalData_1" localSheetId="10" hidden="1">MEM!$A$2:$I$33</definedName>
    <definedName name="ExternalData_1" localSheetId="14" hidden="1">'NUM{THR}'!$A$2:$I$33</definedName>
    <definedName name="ExternalData_1" localSheetId="19" hidden="1">TFG!$A$2:$I$33</definedName>
    <definedName name="ExternalData_1" localSheetId="20" hidden="1">TLD!$A$2:$I$33</definedName>
    <definedName name="ExternalData_10" localSheetId="17" hidden="1">RCO!$A$2:$I$33</definedName>
    <definedName name="ExternalData_11" localSheetId="18" hidden="1">SA!$A$2:$I$33</definedName>
    <definedName name="ExternalData_2" localSheetId="3" hidden="1">ARC!$A$2:$I$33</definedName>
    <definedName name="ExternalData_2" localSheetId="6" hidden="1">BPO!$A$2:$I$33</definedName>
    <definedName name="ExternalData_3" localSheetId="7" hidden="1">CSS!$A$2:$I$33</definedName>
    <definedName name="ExternalData_4" localSheetId="8" hidden="1">MAM!$A$2:$I$33</definedName>
    <definedName name="ExternalData_4" localSheetId="9" hidden="1">MED!$A$2:$I$33</definedName>
    <definedName name="ExternalData_5" localSheetId="11" hidden="1">MKT!$A$2:$I$33</definedName>
    <definedName name="ExternalData_6" localSheetId="12" hidden="1">MTS!$A$2:$I$33</definedName>
    <definedName name="ExternalData_7" localSheetId="13" hidden="1">NAV!$A$2:$I$33</definedName>
    <definedName name="ExternalData_8" localSheetId="15" hidden="1">PAR!$A$2:$I$33</definedName>
    <definedName name="ExternalData_9" localSheetId="16" hidden="1">RAN!$A$2:$I$33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4  Page 2   2_9812416d-eb2e-42c9-9f83-f488f3f45464" name="Table004  Page 2   2" connection="Query - Table004 (Page 2) (2)"/>
          <x15:modelTable id="Table002  Page 1   11_cc411d68-8be7-44f4-a94b-5837f388cbb1" name="Table002  Page 1   11" connection="Query - Table002 (Page 1) (11)"/>
          <x15:modelTable id="Table002  Page 1   12_42ae8644-c948-47f6-b2e5-f64ae08f7aa5" name="Table002  Page 1   12" connection="Query - Table002 (Page 1) (12)"/>
          <x15:modelTable id="Table004  Page 2   3_0d61d765-b7fc-4a90-9ad2-3b142dbd6bbb" name="Table004  Page 2   3" connection="Query - Table004 (Page 2)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4" l="1"/>
  <c r="G1" i="24"/>
  <c r="H1" i="24"/>
  <c r="I1" i="24"/>
  <c r="E1" i="18"/>
  <c r="F1" i="18"/>
  <c r="G1" i="18"/>
  <c r="H1" i="18"/>
  <c r="I1" i="18"/>
  <c r="D1" i="18"/>
  <c r="E1" i="24"/>
  <c r="D1" i="24"/>
  <c r="E28" i="1"/>
  <c r="E29" i="1"/>
  <c r="E30" i="1"/>
  <c r="E31" i="1"/>
  <c r="E32" i="1"/>
  <c r="D29" i="1"/>
  <c r="D30" i="1"/>
  <c r="D31" i="1"/>
  <c r="D32" i="1"/>
  <c r="C29" i="1"/>
  <c r="C30" i="1"/>
  <c r="C31" i="1"/>
  <c r="C32" i="1"/>
  <c r="B27" i="1"/>
  <c r="B28" i="1"/>
  <c r="B29" i="1"/>
  <c r="B30" i="1"/>
  <c r="B31" i="1"/>
  <c r="B32" i="1"/>
  <c r="E25" i="1" l="1"/>
  <c r="E26" i="1"/>
  <c r="E27" i="1"/>
  <c r="D25" i="1"/>
  <c r="D26" i="1"/>
  <c r="D27" i="1"/>
  <c r="D28" i="1"/>
  <c r="C25" i="1"/>
  <c r="C26" i="1"/>
  <c r="C27" i="1"/>
  <c r="C28" i="1"/>
  <c r="B25" i="1"/>
  <c r="B26" i="1"/>
  <c r="F1" i="14"/>
  <c r="G1" i="14"/>
  <c r="H1" i="14"/>
  <c r="I1" i="14"/>
  <c r="E1" i="14"/>
  <c r="D1" i="14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B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I1" i="19" l="1"/>
  <c r="N9" i="1" s="1"/>
  <c r="H1" i="19"/>
  <c r="M9" i="1" s="1"/>
  <c r="E1" i="19"/>
  <c r="J9" i="1" s="1"/>
  <c r="D1" i="19"/>
  <c r="I9" i="1" s="1"/>
  <c r="N19" i="1"/>
  <c r="M19" i="1"/>
  <c r="J19" i="1"/>
  <c r="I19" i="1"/>
  <c r="N16" i="1"/>
  <c r="M16" i="1"/>
  <c r="J16" i="1"/>
  <c r="I1" i="11"/>
  <c r="N14" i="1" s="1"/>
  <c r="H1" i="11"/>
  <c r="M14" i="1" s="1"/>
  <c r="E1" i="11"/>
  <c r="J14" i="1" s="1"/>
  <c r="D1" i="11"/>
  <c r="I14" i="1" s="1"/>
  <c r="I1" i="10"/>
  <c r="N13" i="1" s="1"/>
  <c r="H1" i="10"/>
  <c r="M13" i="1" s="1"/>
  <c r="E1" i="10"/>
  <c r="J13" i="1" s="1"/>
  <c r="D1" i="10"/>
  <c r="I13" i="1" s="1"/>
  <c r="I1" i="22"/>
  <c r="N11" i="1" s="1"/>
  <c r="H1" i="22"/>
  <c r="M11" i="1" s="1"/>
  <c r="E1" i="22"/>
  <c r="J11" i="1" s="1"/>
  <c r="D1" i="22"/>
  <c r="I11" i="1" s="1"/>
  <c r="I1" i="2"/>
  <c r="N3" i="1" s="1"/>
  <c r="H1" i="2"/>
  <c r="M3" i="1" s="1"/>
  <c r="E1" i="2"/>
  <c r="J3" i="1" s="1"/>
  <c r="D1" i="2"/>
  <c r="I3" i="1" s="1"/>
  <c r="I1" i="25"/>
  <c r="N21" i="1" s="1"/>
  <c r="H1" i="25"/>
  <c r="M21" i="1" s="1"/>
  <c r="G1" i="25"/>
  <c r="L21" i="1" s="1"/>
  <c r="F1" i="25"/>
  <c r="K21" i="1" s="1"/>
  <c r="E1" i="25"/>
  <c r="J21" i="1" s="1"/>
  <c r="D1" i="25"/>
  <c r="I21" i="1" s="1"/>
  <c r="N20" i="1"/>
  <c r="M20" i="1"/>
  <c r="L20" i="1"/>
  <c r="K20" i="1"/>
  <c r="J20" i="1"/>
  <c r="I20" i="1"/>
  <c r="I1" i="23"/>
  <c r="N15" i="1" s="1"/>
  <c r="H1" i="23"/>
  <c r="M15" i="1" s="1"/>
  <c r="G1" i="23"/>
  <c r="L15" i="1" s="1"/>
  <c r="F1" i="23"/>
  <c r="K15" i="1" s="1"/>
  <c r="E1" i="23"/>
  <c r="J15" i="1" s="1"/>
  <c r="D1" i="23"/>
  <c r="I15" i="1" s="1"/>
  <c r="G1" i="22"/>
  <c r="L11" i="1" s="1"/>
  <c r="F1" i="22"/>
  <c r="K11" i="1" s="1"/>
  <c r="I1" i="21"/>
  <c r="N6" i="1" s="1"/>
  <c r="H1" i="21"/>
  <c r="M6" i="1" s="1"/>
  <c r="G1" i="21"/>
  <c r="L6" i="1" s="1"/>
  <c r="F1" i="21"/>
  <c r="K6" i="1" s="1"/>
  <c r="E1" i="21"/>
  <c r="J6" i="1" s="1"/>
  <c r="D1" i="21"/>
  <c r="I6" i="1" s="1"/>
  <c r="I1" i="20"/>
  <c r="N2" i="1" s="1"/>
  <c r="H1" i="20"/>
  <c r="M2" i="1" s="1"/>
  <c r="G1" i="20"/>
  <c r="L2" i="1" s="1"/>
  <c r="F1" i="20"/>
  <c r="K2" i="1" s="1"/>
  <c r="E1" i="20"/>
  <c r="J2" i="1" s="1"/>
  <c r="D1" i="20"/>
  <c r="I2" i="1" s="1"/>
  <c r="L19" i="1"/>
  <c r="K19" i="1"/>
  <c r="I1" i="16"/>
  <c r="N18" i="1" s="1"/>
  <c r="H1" i="16"/>
  <c r="M18" i="1" s="1"/>
  <c r="G1" i="16"/>
  <c r="L18" i="1" s="1"/>
  <c r="F1" i="16"/>
  <c r="K18" i="1" s="1"/>
  <c r="E1" i="16"/>
  <c r="J18" i="1" s="1"/>
  <c r="D1" i="16"/>
  <c r="I18" i="1" s="1"/>
  <c r="I1" i="15"/>
  <c r="N17" i="1" s="1"/>
  <c r="H1" i="15"/>
  <c r="M17" i="1" s="1"/>
  <c r="G1" i="15"/>
  <c r="L17" i="1" s="1"/>
  <c r="F1" i="15"/>
  <c r="K17" i="1" s="1"/>
  <c r="E1" i="15"/>
  <c r="J17" i="1" s="1"/>
  <c r="D1" i="15"/>
  <c r="I17" i="1" s="1"/>
  <c r="K16" i="1"/>
  <c r="G1" i="11"/>
  <c r="L14" i="1" s="1"/>
  <c r="F1" i="11"/>
  <c r="K14" i="1" s="1"/>
  <c r="G1" i="10"/>
  <c r="L13" i="1" s="1"/>
  <c r="F1" i="10"/>
  <c r="K13" i="1" s="1"/>
  <c r="I1" i="9"/>
  <c r="N12" i="1" s="1"/>
  <c r="H1" i="9"/>
  <c r="M12" i="1" s="1"/>
  <c r="G1" i="9"/>
  <c r="L12" i="1" s="1"/>
  <c r="F1" i="9"/>
  <c r="K12" i="1" s="1"/>
  <c r="E1" i="9"/>
  <c r="J12" i="1" s="1"/>
  <c r="D1" i="9"/>
  <c r="I12" i="1" s="1"/>
  <c r="I1" i="8"/>
  <c r="N10" i="1" s="1"/>
  <c r="H1" i="8"/>
  <c r="M10" i="1" s="1"/>
  <c r="G1" i="8"/>
  <c r="L10" i="1" s="1"/>
  <c r="F1" i="8"/>
  <c r="K10" i="1" s="1"/>
  <c r="E1" i="8"/>
  <c r="J10" i="1" s="1"/>
  <c r="D1" i="8"/>
  <c r="I10" i="1" s="1"/>
  <c r="G1" i="19"/>
  <c r="L9" i="1" s="1"/>
  <c r="F1" i="19"/>
  <c r="K9" i="1" s="1"/>
  <c r="I1" i="7"/>
  <c r="N8" i="1" s="1"/>
  <c r="H1" i="7"/>
  <c r="M8" i="1" s="1"/>
  <c r="G1" i="7"/>
  <c r="L8" i="1" s="1"/>
  <c r="F1" i="7"/>
  <c r="K8" i="1" s="1"/>
  <c r="E1" i="7"/>
  <c r="J8" i="1" s="1"/>
  <c r="D1" i="7"/>
  <c r="I8" i="1" s="1"/>
  <c r="I1" i="6"/>
  <c r="N7" i="1" s="1"/>
  <c r="H1" i="6"/>
  <c r="M7" i="1" s="1"/>
  <c r="G1" i="6"/>
  <c r="L7" i="1" s="1"/>
  <c r="F1" i="6"/>
  <c r="K7" i="1" s="1"/>
  <c r="E1" i="6"/>
  <c r="J7" i="1" s="1"/>
  <c r="D1" i="6"/>
  <c r="I7" i="1" s="1"/>
  <c r="I1" i="3"/>
  <c r="N4" i="1" s="1"/>
  <c r="H1" i="3"/>
  <c r="M4" i="1" s="1"/>
  <c r="G1" i="3"/>
  <c r="L4" i="1" s="1"/>
  <c r="F1" i="3"/>
  <c r="K4" i="1" s="1"/>
  <c r="E1" i="3"/>
  <c r="J4" i="1" s="1"/>
  <c r="D1" i="3"/>
  <c r="I4" i="1" s="1"/>
  <c r="G1" i="2"/>
  <c r="L3" i="1" s="1"/>
  <c r="F1" i="2"/>
  <c r="K3" i="1" s="1"/>
  <c r="I16" i="1" l="1"/>
  <c r="L16" i="1"/>
  <c r="D2" i="1" l="1"/>
  <c r="D4" i="1"/>
  <c r="D1" i="4"/>
  <c r="I5" i="1" s="1"/>
  <c r="I22" i="1" s="1"/>
  <c r="C2" i="1"/>
  <c r="C4" i="1"/>
  <c r="E4" i="1"/>
  <c r="B2" i="1"/>
  <c r="E2" i="1"/>
  <c r="I1" i="4"/>
  <c r="N5" i="1" s="1"/>
  <c r="N22" i="1" s="1"/>
  <c r="H1" i="4"/>
  <c r="M5" i="1" s="1"/>
  <c r="M22" i="1" s="1"/>
  <c r="E33" i="1" l="1"/>
  <c r="G1" i="4"/>
  <c r="L5" i="1" s="1"/>
  <c r="L22" i="1" s="1"/>
  <c r="D33" i="1"/>
  <c r="F1" i="4"/>
  <c r="K5" i="1" s="1"/>
  <c r="K22" i="1" s="1"/>
  <c r="C33" i="1"/>
  <c r="E1" i="4"/>
  <c r="J5" i="1" s="1"/>
  <c r="J22" i="1" s="1"/>
  <c r="B4" i="1"/>
  <c r="B3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F03627-9C52-4C3D-8FCA-8E67F36A32AA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2EF4E569-C1F0-4266-9EE0-47ABCAB5B524}" keepAlive="1" name="Query - Table002 (Page 1) (10)" description="Connection to the 'Table002 (Page 1) (10)' query in the workbook." type="5" refreshedVersion="0" background="1" saveData="1">
    <dbPr connection="Provider=Microsoft.Mashup.OleDb.1;Data Source=$Workbook$;Location=&quot;Table002 (Page 1) (10)&quot;;Extended Properties=&quot;&quot;" command="SELECT * FROM [Table002 (Page 1) (10)]"/>
  </connection>
  <connection id="3" xr16:uid="{A242671D-DDA0-40F4-A1D8-E335CC3D1A14}" name="Query - Table002 (Page 1) (11)" description="Connection to the 'Table002 (Page 1) (11)' query in the workbook." type="100" refreshedVersion="8" minRefreshableVersion="5">
    <extLst>
      <ext xmlns:x15="http://schemas.microsoft.com/office/spreadsheetml/2010/11/main" uri="{DE250136-89BD-433C-8126-D09CA5730AF9}">
        <x15:connection id="bda0abf9-9779-468d-b0ba-0a323e48d680"/>
      </ext>
    </extLst>
  </connection>
  <connection id="4" xr16:uid="{EEE5AC28-2034-4A0B-A434-8C1A23E732A8}" name="Query - Table002 (Page 1) (12)" description="Connection to the 'Table002 (Page 1) (12)' query in the workbook." type="100" refreshedVersion="8" minRefreshableVersion="5">
    <extLst>
      <ext xmlns:x15="http://schemas.microsoft.com/office/spreadsheetml/2010/11/main" uri="{DE250136-89BD-433C-8126-D09CA5730AF9}">
        <x15:connection id="24163cef-24a4-4e20-956a-cc6754e9fb53"/>
      </ext>
    </extLst>
  </connection>
  <connection id="5" xr16:uid="{48481AAC-BA1E-4FCD-B7B7-BB01B246C63B}" keepAlive="1" name="Query - Table002 (Page 1) (13)" description="Connection to the 'Table002 (Page 1) (13)' query in the workbook." type="5" refreshedVersion="8" background="1" saveData="1">
    <dbPr connection="Provider=Microsoft.Mashup.OleDb.1;Data Source=$Workbook$;Location=&quot;Table002 (Page 1) (13)&quot;;Extended Properties=&quot;&quot;" command="SELECT * FROM [Table002 (Page 1) (13)]"/>
  </connection>
  <connection id="6" xr16:uid="{DDDCC10B-6E3B-4A88-8134-36377511EABB}" keepAlive="1" name="Query - Table002 (Page 1) (14)" description="Connection to the 'Table002 (Page 1) (14)' query in the workbook." type="5" refreshedVersion="8" background="1" saveData="1">
    <dbPr connection="Provider=Microsoft.Mashup.OleDb.1;Data Source=$Workbook$;Location=&quot;Table002 (Page 1) (14)&quot;;Extended Properties=&quot;&quot;" command="SELECT * FROM [Table002 (Page 1) (14)]"/>
  </connection>
  <connection id="7" xr16:uid="{1C209AD1-1953-4E87-8ACC-E9A5C19C1F35}" keepAlive="1" name="Query - Table002 (Page 1) (15)" description="Connection to the 'Table002 (Page 1) (15)' query in the workbook." type="5" refreshedVersion="8" background="1" saveData="1">
    <dbPr connection="Provider=Microsoft.Mashup.OleDb.1;Data Source=$Workbook$;Location=&quot;Table002 (Page 1) (15)&quot;;Extended Properties=&quot;&quot;" command="SELECT * FROM [Table002 (Page 1) (15)]"/>
  </connection>
  <connection id="8" xr16:uid="{A604D240-347D-40C2-8547-07B8C495EA6B}" keepAlive="1" name="Query - Table002 (Page 1) (16)" description="Connection to the 'Table002 (Page 1) (16)' query in the workbook." type="5" refreshedVersion="8" background="1" saveData="1">
    <dbPr connection="Provider=Microsoft.Mashup.OleDb.1;Data Source=$Workbook$;Location=&quot;Table002 (Page 1) (16)&quot;;Extended Properties=&quot;&quot;" command="SELECT * FROM [Table002 (Page 1) (16)]"/>
  </connection>
  <connection id="9" xr16:uid="{4AA06319-C58E-4D35-A0F5-2FF1E6BF981F}" keepAlive="1" name="Query - Table002 (Page 1) (17)" description="Connection to the 'Table002 (Page 1) (17)' query in the workbook." type="5" refreshedVersion="8" background="1" saveData="1">
    <dbPr connection="Provider=Microsoft.Mashup.OleDb.1;Data Source=$Workbook$;Location=&quot;Table002 (Page 1) (17)&quot;;Extended Properties=&quot;&quot;" command="SELECT * FROM [Table002 (Page 1) (17)]"/>
  </connection>
  <connection id="10" xr16:uid="{E0CD64E6-0626-4D7C-8794-6B945E45DC2E}" keepAlive="1" name="Query - Table002 (Page 1) (18)" description="Connection to the 'Table002 (Page 1) (18)' query in the workbook." type="5" refreshedVersion="8" background="1" saveData="1">
    <dbPr connection="Provider=Microsoft.Mashup.OleDb.1;Data Source=$Workbook$;Location=&quot;Table002 (Page 1) (18)&quot;;Extended Properties=&quot;&quot;" command="SELECT * FROM [Table002 (Page 1) (18)]"/>
  </connection>
  <connection id="11" xr16:uid="{0E865423-979F-48B2-A82E-030BB0850584}" keepAlive="1" name="Query - Table002 (Page 1) (19)" description="Connection to the 'Table002 (Page 1) (19)' query in the workbook." type="5" refreshedVersion="8" background="1" saveData="1">
    <dbPr connection="Provider=Microsoft.Mashup.OleDb.1;Data Source=$Workbook$;Location=&quot;Table002 (Page 1) (19)&quot;;Extended Properties=&quot;&quot;" command="SELECT * FROM [Table002 (Page 1) (19)]"/>
  </connection>
  <connection id="12" xr16:uid="{01B87B46-5459-4DF3-9C2E-542F716A129E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13" xr16:uid="{DF022444-5938-4522-BE24-8946EFF019C3}" keepAlive="1" name="Query - Table002 (Page 1) (20)" description="Connection to the 'Table002 (Page 1) (20)' query in the workbook." type="5" refreshedVersion="8" background="1" saveData="1">
    <dbPr connection="Provider=Microsoft.Mashup.OleDb.1;Data Source=$Workbook$;Location=&quot;Table002 (Page 1) (20)&quot;;Extended Properties=&quot;&quot;" command="SELECT * FROM [Table002 (Page 1) (20)]"/>
  </connection>
  <connection id="14" xr16:uid="{48759483-FF6F-49FD-A63F-7DD2CD8CF8DE}" keepAlive="1" name="Query - Table002 (Page 1) (21)" description="Connection to the 'Table002 (Page 1) (21)' query in the workbook." type="5" refreshedVersion="8" background="1" saveData="1">
    <dbPr connection="Provider=Microsoft.Mashup.OleDb.1;Data Source=$Workbook$;Location=&quot;Table002 (Page 1) (21)&quot;;Extended Properties=&quot;&quot;" command="SELECT * FROM [Table002 (Page 1) (21)]"/>
  </connection>
  <connection id="15" xr16:uid="{22ED6104-F1C1-4E37-8177-CDDACD967432}" keepAlive="1" name="Query - Table002 (Page 1) (22)" description="Connection to the 'Table002 (Page 1) (22)' query in the workbook." type="5" refreshedVersion="8" background="1" saveData="1">
    <dbPr connection="Provider=Microsoft.Mashup.OleDb.1;Data Source=$Workbook$;Location=&quot;Table002 (Page 1) (22)&quot;;Extended Properties=&quot;&quot;" command="SELECT * FROM [Table002 (Page 1) (22)]"/>
  </connection>
  <connection id="16" xr16:uid="{49F95FBD-D871-43BF-AEB3-F9FA9D711195}" keepAlive="1" name="Query - Table002 (Page 1) (23)" description="Connection to the 'Table002 (Page 1) (23)' query in the workbook." type="5" refreshedVersion="8" background="1" saveData="1">
    <dbPr connection="Provider=Microsoft.Mashup.OleDb.1;Data Source=$Workbook$;Location=&quot;Table002 (Page 1) (23)&quot;;Extended Properties=&quot;&quot;" command="SELECT * FROM [Table002 (Page 1) (23)]"/>
  </connection>
  <connection id="17" xr16:uid="{CFCB1C9C-4CF7-4D8E-9E79-35F8F32E2777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18" xr16:uid="{DFB9A95C-5ABC-4978-8164-1BF9BABE0068}" keepAlive="1" name="Query - Table002 (Page 1) (4)" description="Connection to the 'Table002 (Page 1) (4)' query in the workbook." type="5" refreshedVersion="8" background="1" saveData="1">
    <dbPr connection="Provider=Microsoft.Mashup.OleDb.1;Data Source=$Workbook$;Location=&quot;Table002 (Page 1) (4)&quot;;Extended Properties=&quot;&quot;" command="SELECT * FROM [Table002 (Page 1) (4)]"/>
  </connection>
  <connection id="19" xr16:uid="{033A1089-16B8-4FF6-BF42-48B63BFCC864}" keepAlive="1" name="Query - Table002 (Page 1) (5)" description="Connection to the 'Table002 (Page 1) (5)' query in the workbook." type="5" refreshedVersion="8" background="1" saveData="1">
    <dbPr connection="Provider=Microsoft.Mashup.OleDb.1;Data Source=$Workbook$;Location=&quot;Table002 (Page 1) (5)&quot;;Extended Properties=&quot;&quot;" command="SELECT * FROM [Table002 (Page 1) (5)]"/>
  </connection>
  <connection id="20" xr16:uid="{E907DC45-3465-462C-8DEA-4BD6D676557E}" keepAlive="1" name="Query - Table002 (Page 1) (6)" description="Connection to the 'Table002 (Page 1) (6)' query in the workbook." type="5" refreshedVersion="8" background="1" saveData="1">
    <dbPr connection="Provider=Microsoft.Mashup.OleDb.1;Data Source=$Workbook$;Location=&quot;Table002 (Page 1) (6)&quot;;Extended Properties=&quot;&quot;" command="SELECT * FROM [Table002 (Page 1) (6)]"/>
  </connection>
  <connection id="21" xr16:uid="{A5ACA860-2651-44E7-967E-1C4469BB1A82}" keepAlive="1" name="Query - Table002 (Page 1) (7)" description="Connection to the 'Table002 (Page 1) (7)' query in the workbook." type="5" refreshedVersion="8" background="1" saveData="1">
    <dbPr connection="Provider=Microsoft.Mashup.OleDb.1;Data Source=$Workbook$;Location=&quot;Table002 (Page 1) (7)&quot;;Extended Properties=&quot;&quot;" command="SELECT * FROM [Table002 (Page 1) (7)]"/>
  </connection>
  <connection id="22" xr16:uid="{711692B0-DA2D-4B42-BD86-2FC8239B8A90}" keepAlive="1" name="Query - Table002 (Page 1) (8)" description="Connection to the 'Table002 (Page 1) (8)' query in the workbook." type="5" refreshedVersion="8" background="1" saveData="1">
    <dbPr connection="Provider=Microsoft.Mashup.OleDb.1;Data Source=$Workbook$;Location=&quot;Table002 (Page 1) (8)&quot;;Extended Properties=&quot;&quot;" command="SELECT * FROM [Table002 (Page 1) (8)]"/>
  </connection>
  <connection id="23" xr16:uid="{8DEDF190-D6B3-4791-B5CD-379E60BC8868}" keepAlive="1" name="Query - Table002 (Page 1) (9)" description="Connection to the 'Table002 (Page 1) (9)' query in the workbook." type="5" refreshedVersion="8" background="1" saveData="1">
    <dbPr connection="Provider=Microsoft.Mashup.OleDb.1;Data Source=$Workbook$;Location=&quot;Table002 (Page 1) (9)&quot;;Extended Properties=&quot;&quot;" command="SELECT * FROM [Table002 (Page 1) (9)]"/>
  </connection>
  <connection id="24" xr16:uid="{2E2B1AEF-1AF7-405F-95BF-B51A1816D6DC}" keepAlive="1" name="Query - Table004 (Page 2)" description="Connection to the 'Table004 (Page 2)' query in the workbook." type="5" refreshedVersion="0" background="1" saveData="1">
    <dbPr connection="Provider=Microsoft.Mashup.OleDb.1;Data Source=$Workbook$;Location=&quot;Table004 (Page 2)&quot;;Extended Properties=&quot;&quot;" command="SELECT * FROM [Table004 (Page 2)]"/>
  </connection>
  <connection id="25" xr16:uid="{033F0646-CB47-4566-8A71-E124B5AFDBAA}" name="Query - Table004 (Page 2) (2)" description="Connection to the 'Table004 (Page 2) (2)' query in the workbook." type="100" refreshedVersion="8" minRefreshableVersion="5">
    <extLst>
      <ext xmlns:x15="http://schemas.microsoft.com/office/spreadsheetml/2010/11/main" uri="{DE250136-89BD-433C-8126-D09CA5730AF9}">
        <x15:connection id="e19236ed-da8c-4831-a60c-0ade5eb32c7f"/>
      </ext>
    </extLst>
  </connection>
  <connection id="26" xr16:uid="{6B622387-3CEE-41F1-8DF6-A6C6B16C4FCF}" name="Query - Table004 (Page 2) (3)" description="Connection to the 'Table004 (Page 2) (3)' query in the workbook." type="100" refreshedVersion="8" minRefreshableVersion="5">
    <extLst>
      <ext xmlns:x15="http://schemas.microsoft.com/office/spreadsheetml/2010/11/main" uri="{DE250136-89BD-433C-8126-D09CA5730AF9}">
        <x15:connection id="6f66ddb2-9e96-46b3-9a03-c8bff194585e"/>
      </ext>
    </extLst>
  </connection>
  <connection id="27" xr16:uid="{DA0F3087-E25C-4024-879D-E1CEDDCAE5D7}" keepAlive="1" name="Query - Table004 (Page 2) (4)" description="Connection to the 'Table004 (Page 2) (4)' query in the workbook." type="5" refreshedVersion="0" background="1" saveData="1">
    <dbPr connection="Provider=Microsoft.Mashup.OleDb.1;Data Source=$Workbook$;Location=&quot;Table004 (Page 2) (4)&quot;;Extended Properties=&quot;&quot;" command="SELECT * FROM [Table004 (Page 2) (4)]"/>
  </connection>
  <connection id="28" xr16:uid="{F4B7437E-60E3-4C03-978C-A936777F6D8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<sst xmlns="http://schemas.openxmlformats.org/spreadsheetml/2006/main" count="219" uniqueCount="45">
  <si>
    <t>Import Date</t>
  </si>
  <si>
    <t>Batch
Number</t>
  </si>
  <si>
    <t>Strike Date</t>
  </si>
  <si>
    <t>Received
Volume</t>
  </si>
  <si>
    <t>Received Value</t>
  </si>
  <si>
    <t>Rejected
Volume</t>
  </si>
  <si>
    <t>Rejected Value</t>
  </si>
  <si>
    <t>Accepted
Volume</t>
  </si>
  <si>
    <t>Accepted Value</t>
  </si>
  <si>
    <t>DTO</t>
  </si>
  <si>
    <t>SUMMARY</t>
  </si>
  <si>
    <t>VALUE</t>
  </si>
  <si>
    <t>REJ DTO</t>
  </si>
  <si>
    <t>REJ VALUE</t>
  </si>
  <si>
    <t>TOTAL</t>
  </si>
  <si>
    <t>ACU</t>
  </si>
  <si>
    <t>AIB</t>
  </si>
  <si>
    <t>ARC</t>
  </si>
  <si>
    <t>AXS</t>
  </si>
  <si>
    <t>BOU</t>
  </si>
  <si>
    <t>BPO</t>
  </si>
  <si>
    <t>CSS</t>
  </si>
  <si>
    <t>MAM</t>
  </si>
  <si>
    <t>MED</t>
  </si>
  <si>
    <t>MEM</t>
  </si>
  <si>
    <t>MKT</t>
  </si>
  <si>
    <t>MTS</t>
  </si>
  <si>
    <t>NAV</t>
  </si>
  <si>
    <t>NUM {THR}</t>
  </si>
  <si>
    <t>PAR</t>
  </si>
  <si>
    <t>RAN</t>
  </si>
  <si>
    <t>RCO</t>
  </si>
  <si>
    <t>SA</t>
  </si>
  <si>
    <t>TFG</t>
  </si>
  <si>
    <t>TLD</t>
  </si>
  <si>
    <t>REC DTO</t>
  </si>
  <si>
    <t>ACC DTO2</t>
  </si>
  <si>
    <t>ACC VALUE</t>
  </si>
  <si>
    <t>MONTH SUMMARY</t>
  </si>
  <si>
    <t>582&amp;583</t>
  </si>
  <si>
    <t>592&amp;593</t>
  </si>
  <si>
    <t>536&amp;537</t>
  </si>
  <si>
    <t>538&amp;539</t>
  </si>
  <si>
    <t>1//2</t>
  </si>
  <si>
    <t>583&amp;584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</si>
</sst>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43" formatCode="_-* #,##0.00_-;\-* #,##0.00_-;_-* &quot;-&quot;??_-;_-@_-"/>
    <numFmt numFmtId="164" formatCode="yyyy\-mm\-dd;@"/>
    <numFmt numFmtId="165" formatCode="[$-1C09]dd\ mmmm\ yyyy;@"/>
    <numFmt numFmtId="166" formatCode="#,##0_ ;\-#,##0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44" fontId="0" fillId="0" borderId="0" xfId="1" applyFont="1"/>
    <xf numFmtId="0" fontId="0" fillId="0" borderId="0" xfId="0" applyAlignment="1">
      <alignment horizontal="center"/>
    </xf>
    <xf numFmtId="0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44" fontId="3" fillId="0" borderId="0" xfId="1" applyFont="1" applyAlignment="1">
      <alignment horizontal="right"/>
    </xf>
    <xf numFmtId="44" fontId="0" fillId="0" borderId="0" xfId="1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44" fontId="2" fillId="0" borderId="0" xfId="1" applyFont="1"/>
    <xf numFmtId="0" fontId="2" fillId="0" borderId="0" xfId="0" applyFont="1"/>
    <xf numFmtId="0" fontId="2" fillId="0" borderId="0" xfId="1" applyNumberFormat="1" applyFont="1"/>
    <xf numFmtId="164" fontId="0" fillId="0" borderId="0" xfId="0" applyNumberFormat="1" applyAlignment="1">
      <alignment horizontal="left" vertical="top"/>
    </xf>
    <xf numFmtId="44" fontId="0" fillId="0" borderId="0" xfId="0" applyNumberFormat="1"/>
    <xf numFmtId="44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6" fontId="3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3" fillId="0" borderId="0" xfId="0" applyNumberFormat="1" applyFont="1" applyAlignment="1">
      <alignment horizontal="center"/>
    </xf>
    <xf numFmtId="0" fontId="0" fillId="0" borderId="1" xfId="0" applyBorder="1"/>
    <xf numFmtId="0" fontId="0" fillId="0" borderId="2" xfId="0" applyBorder="1"/>
  </cellXfs>
  <cellStyles count="3">
    <cellStyle name="Comma" xfId="2" builtinId="3"/>
    <cellStyle name="Currency" xfId="1" builtinId="4"/>
    <cellStyle name="Normal" xfId="0" builtinId="0"/>
  </cellStyles>
  <dxfs count="153"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164" formatCode="yyyy\-mm\-dd;@"/>
      <alignment horizontal="left" vertical="top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#,##0_ ;\-#,##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166" formatCode="#,##0_ ;\-#,##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[$-1C09]dd\ mmmm\ 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numFmt numFmtId="166" formatCode="#,##0_ ;\-#,##0\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[$-1C09]dd\ mmmm\ yyyy;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B04B9871-92B6-4E60-8261-0DBE906B244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5ACAAF-5D7B-45CB-B597-DD21D1381D8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395BE875-80B1-4A72-8CB0-791ACF50817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CFCA70F4-211D-4156-83F1-B55310D2CB9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DCCBAC8-F12F-4D69-9285-EC17A385485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D2058B3B-EB4A-46D9-A1EC-6B419C76240F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E6D6933B-B296-4264-B5C5-963EAF00F74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884B9225-7D18-4DD2-9B45-1AC77E9FF7F1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70CC2915-FD3A-4DFA-846E-EF3FF1FA3C1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E2691DE9-E8AD-42A8-AFC2-8DF58D96E43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1" xr16:uid="{807569F3-9E5E-42F2-8A95-3C3E26CD21ED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FC63E9A9-46DC-42AE-B69F-66BA217668AF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3" xr16:uid="{025FC6AD-B989-4DDF-92E2-E519C3C5073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5D59013F-B9FE-4563-ACCF-C121C4ECE59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4855596A-ED12-4B35-A4FB-3C75D64371A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1BB73195-FFBD-4AFB-A145-D0C4AAC1662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C8D7074A-CF24-4B3A-801E-0E2370C05B3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8" xr16:uid="{86814EA9-106C-4FD6-81E7-E680CDA5741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E5378EA6-00A8-4AD6-8683-8576F7F9A7C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231EF4CB-7357-494F-836F-022F636D28C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BA7D2D7-7943-4886-87A7-95320109FEF2}" name="Table18" displayName="Table18" ref="A1:E33" totalsRowShown="0">
  <autoFilter ref="A1:E33" xr:uid="{5BA7D2D7-7943-4886-87A7-95320109FEF2}"/>
  <tableColumns count="5">
    <tableColumn id="1" xr3:uid="{CAFE6CCF-13B0-4DF1-A2C1-6525D18C42E0}" name="SUMMARY" dataDxfId="152"/>
    <tableColumn id="2" xr3:uid="{9B65B1DE-FE59-4C8B-A9C5-1A05562E8BB7}" name="DTO" dataDxfId="151">
      <calculatedColumnFormula>ACU!D3+AIB!D3+ARC!D3+AXS!D3+BOU!D3+BPO!D3+CSS!D3+MAM!D3+MED!D3+MEM!D3+MKT!D3+MTS!D3+NAV!D3+'NUM{THR}'!D3+PAR!D3+RAN!D3+RCO!D3+SA!D3+TFG!D3+TLD!D3</calculatedColumnFormula>
    </tableColumn>
    <tableColumn id="3" xr3:uid="{2CE91B73-EF0A-444E-86E5-8C524F4F9BF1}" name="VALUE" dataDxfId="150" dataCellStyle="Currency">
      <calculatedColumnFormula>ACU!D3+BOU!D3+MEM!D3+'NUM{THR}'!D3+AIB!E3+ARC!E3+AXS!E3+BPO!E3+CSS!E3+MAM!E3+MED!E3+MKT!E3+MTS!E3+NAV!E3+PAR!E3+RAN!E3+RCO!E3+SA!E3+TFG!D3+TLD!D3</calculatedColumnFormula>
    </tableColumn>
    <tableColumn id="4" xr3:uid="{C7BB2F95-8B7A-4BFC-8A10-298691078DB6}" name="REJ DTO" dataDxfId="149" dataCellStyle="Comma">
      <calculatedColumnFormula>AIB!F3+ARC!F3+AXS!F3+BPO!F3+CSS!F3+MAM!F3+MED!F3+MKT!F3+MTS!F3+NAV!F3+PAR!F3+RAN!F3+RCO!F3+SA!F3</calculatedColumnFormula>
    </tableColumn>
    <tableColumn id="5" xr3:uid="{4B138E1C-3201-42CF-9DE4-F2B37B3C6CA1}" name="REJ VALUE" dataDxfId="148" dataCellStyle="Currency">
      <calculatedColumnFormula>AIB!G3+ARC!G3+AXS!G3+BPO!G3+CSS!G3+MAM!G3+MED!G3+MKT!G3+MTS!G3+NAV!G3+PAR!G3+RAN!G3+RCO!G3+SA!G3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37BCD0-013E-4DA8-A135-99CE7F0FD74B}" name="Table1812" displayName="Table1812" ref="H1:N22" totalsRowShown="0">
  <autoFilter ref="H1:N22" xr:uid="{6937BCD0-013E-4DA8-A135-99CE7F0FD74B}"/>
  <tableColumns count="7">
    <tableColumn id="1" xr3:uid="{741E5CE4-C93A-4F26-9BBA-9A6763B1B49D}" name="MONTH SUMMARY" dataDxfId="147"/>
    <tableColumn id="2" xr3:uid="{64386712-C6F5-4BD5-A4A6-FE76B0032E28}" name="REC DTO" dataDxfId="146">
      <calculatedColumnFormula>ACU!J3+AIB!J3+ARC!J3+AXS!J3+BOU!J3+BPO!J3+CSS!J3+MAM!J3+MED!J3+MEM!J3+MKT!J3+MTS!J3+NAV!J3+'NUM{THR}'!J3+PAR!J3+RAN!J3+RCO!J3+SA!J3+TFG!J3+TLD!J3</calculatedColumnFormula>
    </tableColumn>
    <tableColumn id="3" xr3:uid="{731AEE70-5D8F-4614-9141-A0D8E46989F1}" name="VALUE" dataDxfId="145" dataCellStyle="Currency">
      <calculatedColumnFormula>ACU!J3+BOU!J3+MEM!J3+'NUM{THR}'!J3+AIB!#REF!+ARC!K3+AXS!K3+BPO!K3+CSS!K3+MAM!K3+MED!K3+MKT!K3+MTS!K3+NAV!K3+PAR!K3+RAN!K3+RCO!K3+SA!K3+TFG!J3+TLD!J3</calculatedColumnFormula>
    </tableColumn>
    <tableColumn id="4" xr3:uid="{57E5E575-8163-4ECC-94A1-18C746CB747F}" name="REJ DTO" dataDxfId="144" dataCellStyle="Comma"/>
    <tableColumn id="7" xr3:uid="{0E52DBAB-1D88-4726-826D-E8DB369DDF59}" name="REJ VALUE" dataDxfId="143" dataCellStyle="Currency"/>
    <tableColumn id="6" xr3:uid="{9532158F-8A25-4404-91C5-B031DA2C97EA}" name="ACC DTO2" dataDxfId="142" dataCellStyle="Comma"/>
    <tableColumn id="5" xr3:uid="{C47B79E2-3240-4B67-9C37-ED6AA4E76CB0}" name="ACC VALUE" dataDxfId="141" dataCellStyle="Currency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947C33B-93F0-48FA-9DDD-4851DA9B550B}" name="Table002__Page_120" displayName="Table002__Page_120" ref="A2:I33" tableType="queryTable" totalsRowShown="0">
  <autoFilter ref="A2:I33" xr:uid="{24A10E1A-4BCD-41B9-9006-A7709CC617ED}"/>
  <tableColumns count="9">
    <tableColumn id="1" xr3:uid="{7738AF85-930A-43EB-9D25-8F5BEDEADE3C}" uniqueName="1" name="Import Date" queryTableFieldId="1" dataDxfId="140"/>
    <tableColumn id="2" xr3:uid="{E01E5A9B-3782-40A8-9C95-2AA56887723F}" uniqueName="2" name="Batch_x000a_Number" queryTableFieldId="2" dataDxfId="139"/>
    <tableColumn id="3" xr3:uid="{EDF65636-D259-4E56-9DB7-E952117E2810}" uniqueName="3" name="Strike Date" queryTableFieldId="3" dataDxfId="138"/>
    <tableColumn id="4" xr3:uid="{0CBEF0D8-24C5-4328-B5B7-E6151E295F4B}" uniqueName="4" name="Received_x000a_Volume" queryTableFieldId="4" dataDxfId="137"/>
    <tableColumn id="5" xr3:uid="{CCAE4493-F8B5-4EC5-A824-89BCF77FAADE}" uniqueName="5" name="Received Value" queryTableFieldId="5" dataCellStyle="Currency"/>
    <tableColumn id="6" xr3:uid="{BA728D53-7C47-4E22-AAC7-32E0F4D0FEBA}" uniqueName="6" name="Rejected_x000a_Volume" queryTableFieldId="6" dataDxfId="136"/>
    <tableColumn id="7" xr3:uid="{8D172C05-F4A8-4400-8243-6D210B7C93AF}" uniqueName="7" name="Rejected Value" queryTableFieldId="7" dataDxfId="135"/>
    <tableColumn id="8" xr3:uid="{68E52D08-81BB-44D8-A225-361908257AA6}" uniqueName="8" name="Accepted_x000a_Volume" queryTableFieldId="8" dataDxfId="134"/>
    <tableColumn id="9" xr3:uid="{DD6B6C29-80FD-4778-9006-660E67B0851D}" uniqueName="9" name="Accepted Value" queryTableFieldId="9" dataCellStyle="Currenc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A10E1A-4BCD-41B9-9006-A7709CC617ED}" name="Table002__Page_1" displayName="Table002__Page_1" ref="A2:I33" tableType="queryTable" totalsRowShown="0">
  <autoFilter ref="A2:I33" xr:uid="{24A10E1A-4BCD-41B9-9006-A7709CC617ED}"/>
  <tableColumns count="9">
    <tableColumn id="1" xr3:uid="{FB03F237-97CC-43C0-9D74-DF450A042754}" uniqueName="1" name="Import Date" queryTableFieldId="1" dataDxfId="133"/>
    <tableColumn id="2" xr3:uid="{E5BFA7C0-4E04-4697-B0C4-BA4F93D98D6B}" uniqueName="2" name="Batch_x000a_Number" queryTableFieldId="2" dataDxfId="132"/>
    <tableColumn id="3" xr3:uid="{872E58F6-169F-40DB-8D66-42098CF940A3}" uniqueName="3" name="Strike Date" queryTableFieldId="3" dataDxfId="131"/>
    <tableColumn id="4" xr3:uid="{0E7019CA-272D-4BFE-82C5-CF9DF89B39FB}" uniqueName="4" name="Received_x000a_Volume" queryTableFieldId="4" dataDxfId="130"/>
    <tableColumn id="5" xr3:uid="{FBFCA78E-903C-46C4-842B-D28257F64502}" uniqueName="5" name="Received Value" queryTableFieldId="5" dataCellStyle="Currency"/>
    <tableColumn id="6" xr3:uid="{C06E84B7-1FE4-4149-A6BC-3EEFBEFD59CD}" uniqueName="6" name="Rejected_x000a_Volume" queryTableFieldId="6" dataDxfId="129"/>
    <tableColumn id="7" xr3:uid="{1CE382E8-3720-41E2-B48E-DD55B07DDDA8}" uniqueName="7" name="Rejected Value" queryTableFieldId="7" dataDxfId="128" dataCellStyle="Currency"/>
    <tableColumn id="8" xr3:uid="{1F8B93BD-A88D-4DEB-A849-62715A783DAB}" uniqueName="8" name="Accepted_x000a_Volume" queryTableFieldId="8" dataDxfId="127"/>
    <tableColumn id="9" xr3:uid="{02652185-8DD9-489B-8515-05D642079961}" uniqueName="9" name="Accepted Value" queryTableFieldId="9" dataCellStyle="Currency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534338-E83E-42B7-8D84-6B6D0D4D736C}" name="Table002__Page_1___2" displayName="Table002__Page_1___2" ref="A2:I33" tableType="queryTable" totalsRowShown="0">
  <autoFilter ref="A2:I33" xr:uid="{CB534338-E83E-42B7-8D84-6B6D0D4D736C}"/>
  <tableColumns count="9">
    <tableColumn id="1" xr3:uid="{36D0C48B-4D45-44F9-8A29-1D94A20C657F}" uniqueName="1" name="Import Date" queryTableFieldId="1" dataDxfId="126"/>
    <tableColumn id="2" xr3:uid="{AFEE3E4B-4A05-43EC-AD5E-B22BB46EFBDA}" uniqueName="2" name="Batch_x000a_Number" queryTableFieldId="2" dataDxfId="125"/>
    <tableColumn id="3" xr3:uid="{580CF45C-2001-4398-862A-5A67440BC60E}" uniqueName="3" name="Strike Date" queryTableFieldId="3" dataDxfId="124"/>
    <tableColumn id="4" xr3:uid="{1F0C5B9F-28DB-4AEA-A9CC-B86982A15BC3}" uniqueName="4" name="Received_x000a_Volume" queryTableFieldId="4" dataDxfId="123"/>
    <tableColumn id="5" xr3:uid="{A73CDA9E-EE06-4EC5-B105-4DF94995E61B}" uniqueName="5" name="Received Value" queryTableFieldId="5" dataCellStyle="Currency"/>
    <tableColumn id="6" xr3:uid="{B79C05FA-2651-44E6-85D9-49F6FEA59654}" uniqueName="6" name="Rejected_x000a_Volume" queryTableFieldId="6" dataDxfId="122"/>
    <tableColumn id="7" xr3:uid="{11F14450-5911-4C5D-B9EC-78BA2190D4C3}" uniqueName="7" name="Rejected Value" queryTableFieldId="7" dataDxfId="121" dataCellStyle="Currency"/>
    <tableColumn id="8" xr3:uid="{A5535E3F-B3CF-42F8-B9CB-F1D42B728563}" uniqueName="8" name="Accepted_x000a_Volume" queryTableFieldId="8" dataDxfId="120"/>
    <tableColumn id="9" xr3:uid="{D8A463E6-9A1C-4090-8D1D-FA24BDC761DC}" uniqueName="9" name="Accepted Value" queryTableFieldId="9" dataDxfId="119" dataCellStyle="Currency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5B49B8-BB2E-4383-A002-8F6D738980AB}" name="Table002__Page_1___3" displayName="Table002__Page_1___3" ref="A2:I33" tableType="queryTable" totalsRowShown="0">
  <autoFilter ref="A2:I33" xr:uid="{B95B49B8-BB2E-4383-A002-8F6D738980AB}"/>
  <tableColumns count="9">
    <tableColumn id="1" xr3:uid="{81A1E4CC-E89E-47A3-B36F-B4BFEA2C90C6}" uniqueName="1" name="Import Date" queryTableFieldId="1" dataDxfId="118"/>
    <tableColumn id="2" xr3:uid="{97240047-B7B2-4BFE-B9DE-7ED7ED197FC0}" uniqueName="2" name="Batch_x000a_Number" queryTableFieldId="2" dataDxfId="117"/>
    <tableColumn id="3" xr3:uid="{0673BCB6-5512-4A40-B93C-B47FE560D5BE}" uniqueName="3" name="Strike Date" queryTableFieldId="3" dataDxfId="116"/>
    <tableColumn id="4" xr3:uid="{666C54BB-80FF-4EAF-A2B7-34FB8FEE5E77}" uniqueName="4" name="Received_x000a_Volume" queryTableFieldId="4" dataDxfId="115"/>
    <tableColumn id="5" xr3:uid="{D046E76E-13D6-4BA1-9649-6F7DE3290974}" uniqueName="5" name="Received Value" queryTableFieldId="5" dataCellStyle="Currency"/>
    <tableColumn id="6" xr3:uid="{6B28FF39-338A-48B9-ABE5-42F1C4D35485}" uniqueName="6" name="Rejected_x000a_Volume" queryTableFieldId="6" dataDxfId="114"/>
    <tableColumn id="7" xr3:uid="{C7AFF684-4145-451C-ADD9-084FEC8A0173}" uniqueName="7" name="Rejected Value" queryTableFieldId="7" dataDxfId="113" dataCellStyle="Currency"/>
    <tableColumn id="8" xr3:uid="{1EF06F8F-1B7B-4A26-9B4B-05BEE4BB24AE}" uniqueName="8" name="Accepted_x000a_Volume" queryTableFieldId="8" dataDxfId="112"/>
    <tableColumn id="9" xr3:uid="{E0AE1A02-4A69-4DF4-8AB6-13363DE03525}" uniqueName="9" name="Accepted Value" queryTableFieldId="9" dataCellStyle="Currency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C04F88-591A-49EA-80E9-B4FC938035CB}" name="Table002__Page_12021" displayName="Table002__Page_12021" ref="A2:I33" tableType="queryTable" totalsRowShown="0">
  <autoFilter ref="A2:I33" xr:uid="{24A10E1A-4BCD-41B9-9006-A7709CC617ED}"/>
  <tableColumns count="9">
    <tableColumn id="1" xr3:uid="{7A76EABD-DC6A-4FA0-8F81-9B6BBC4CAF2F}" uniqueName="1" name="Import Date" queryTableFieldId="1" dataDxfId="111"/>
    <tableColumn id="2" xr3:uid="{9A7D5420-8EDD-4EF2-B04D-4C0DCAE64E1C}" uniqueName="2" name="Batch_x000a_Number" queryTableFieldId="2" dataDxfId="110"/>
    <tableColumn id="3" xr3:uid="{DE8366BC-8846-4996-9E4C-75735DEBE1D8}" uniqueName="3" name="Strike Date" queryTableFieldId="3" dataDxfId="109"/>
    <tableColumn id="4" xr3:uid="{3EF810C9-1A74-4DD2-B500-DFA7EA59175F}" uniqueName="4" name="Received_x000a_Volume" queryTableFieldId="4" dataDxfId="108"/>
    <tableColumn id="5" xr3:uid="{D81AA5A7-8645-4E69-8D77-1E5672DF3BC1}" uniqueName="5" name="Received Value" queryTableFieldId="5" dataCellStyle="Currency"/>
    <tableColumn id="6" xr3:uid="{AF581AA7-EBCD-4E50-9E67-CB26C768DE16}" uniqueName="6" name="Rejected_x000a_Volume" queryTableFieldId="6" dataDxfId="107"/>
    <tableColumn id="7" xr3:uid="{4DEEB865-091D-408D-9E70-BCDC18D1CBA4}" uniqueName="7" name="Rejected Value" queryTableFieldId="7" dataDxfId="106"/>
    <tableColumn id="8" xr3:uid="{53E1DB51-32E5-4042-9443-2F0B6656F962}" uniqueName="8" name="Accepted_x000a_Volume" queryTableFieldId="8" dataDxfId="105"/>
    <tableColumn id="9" xr3:uid="{1702B3AE-821C-4037-AAAA-FB1060DB6371}" uniqueName="9" name="Accepted Value" queryTableFieldId="9" dataCellStyle="Currency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B16190-6F78-4318-B252-E31FBBDFB191}" name="Table002__Page_1___4" displayName="Table002__Page_1___4" ref="A2:I33" tableType="queryTable" totalsRowShown="0">
  <autoFilter ref="A2:I33" xr:uid="{78B16190-6F78-4318-B252-E31FBBDFB191}"/>
  <tableColumns count="9">
    <tableColumn id="1" xr3:uid="{A3E16742-545A-4F4E-8114-6485EF31838D}" uniqueName="1" name="Import Date" queryTableFieldId="1" dataDxfId="104"/>
    <tableColumn id="2" xr3:uid="{0EC9C794-78E2-4F67-99AE-6EFAA2B26ACA}" uniqueName="2" name="Batch_x000a_Number" queryTableFieldId="2" dataDxfId="103"/>
    <tableColumn id="3" xr3:uid="{0E901370-3406-4C2A-969C-04A6B70623A2}" uniqueName="3" name="Strike Date" queryTableFieldId="3" dataDxfId="102"/>
    <tableColumn id="4" xr3:uid="{D8307B2B-66CF-4519-ACF0-23379C3F8DCC}" uniqueName="4" name="Received_x000a_Volume" queryTableFieldId="4" dataDxfId="101"/>
    <tableColumn id="5" xr3:uid="{96AC847D-7F57-4328-8485-43E083AB7725}" uniqueName="5" name="Received Value" queryTableFieldId="5" dataCellStyle="Currency"/>
    <tableColumn id="6" xr3:uid="{598423DA-0E1F-46FE-A883-ACC163140E01}" uniqueName="6" name="Rejected_x000a_Volume" queryTableFieldId="6" dataDxfId="100"/>
    <tableColumn id="7" xr3:uid="{7723A32E-9063-455D-A07B-B7ADCCA03F64}" uniqueName="7" name="Rejected Value" queryTableFieldId="7" dataDxfId="99" dataCellStyle="Currency"/>
    <tableColumn id="8" xr3:uid="{6435C6C8-D949-44E3-AD56-3FF427D9B3BE}" uniqueName="8" name="Accepted_x000a_Volume" queryTableFieldId="8" dataDxfId="98"/>
    <tableColumn id="9" xr3:uid="{AD3171B8-B365-405E-8C0C-7E52B464E466}" uniqueName="9" name="Accepted Value" queryTableFieldId="9" dataCellStyle="Currency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C1CA77-612C-4ED8-B08C-81157921902D}" name="Table002__Page_1___5" displayName="Table002__Page_1___5" ref="A2:I33" tableType="queryTable" totalsRowShown="0">
  <autoFilter ref="A2:I33" xr:uid="{B0C1CA77-612C-4ED8-B08C-81157921902D}"/>
  <tableColumns count="9">
    <tableColumn id="1" xr3:uid="{A6826AD1-DB19-4F26-BC75-D53DE50A3A44}" uniqueName="1" name="Import Date" queryTableFieldId="1" dataDxfId="97"/>
    <tableColumn id="2" xr3:uid="{011A8DBD-CBF8-4F24-A1B7-9364E7794A2F}" uniqueName="2" name="Batch_x000a_Number" queryTableFieldId="2" dataDxfId="96"/>
    <tableColumn id="3" xr3:uid="{E6019D97-6588-4062-A7CC-F8B8CC5130BF}" uniqueName="3" name="Strike Date" queryTableFieldId="3" dataDxfId="95"/>
    <tableColumn id="4" xr3:uid="{4A3979FF-6B03-4B9E-92C0-DAD19B505AF9}" uniqueName="4" name="Received_x000a_Volume" queryTableFieldId="4" dataDxfId="94"/>
    <tableColumn id="5" xr3:uid="{0BEBD74D-0B7B-4EF8-BB40-C64BAD5CD1D5}" uniqueName="5" name="Received Value" queryTableFieldId="5" dataCellStyle="Currency"/>
    <tableColumn id="6" xr3:uid="{EC4D4840-7617-434E-82C7-2DBC656A99D6}" uniqueName="6" name="Rejected_x000a_Volume" queryTableFieldId="6" dataDxfId="93"/>
    <tableColumn id="7" xr3:uid="{D74F8BF0-C4A1-436E-B63D-939995FA8B6F}" uniqueName="7" name="Rejected Value" queryTableFieldId="7" dataDxfId="92" dataCellStyle="Currency"/>
    <tableColumn id="8" xr3:uid="{930EE8CF-50C1-4013-B157-A3BABEECA48A}" uniqueName="8" name="Accepted_x000a_Volume" queryTableFieldId="8" dataDxfId="91"/>
    <tableColumn id="9" xr3:uid="{5367ACF0-61E1-44B8-99B2-CD28401D6727}" uniqueName="9" name="Accepted Value" queryTableFieldId="9" dataCellStyle="Currency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4956F9D-9BBF-4849-B45C-9F9E6CE9C50D}" name="Table002__Page_1___618" displayName="Table002__Page_1___618" ref="A2:I33" tableType="queryTable" totalsRowShown="0">
  <autoFilter ref="A2:I33" xr:uid="{CBF28B79-0572-41CE-8775-BA85A5F15DCB}"/>
  <tableColumns count="9">
    <tableColumn id="1" xr3:uid="{D8F92E5F-A01A-4B17-973C-E8BD5235632E}" uniqueName="1" name="Import Date" queryTableFieldId="1" dataDxfId="90"/>
    <tableColumn id="2" xr3:uid="{E62E7D67-AA13-435E-859E-05D85D15FA1F}" uniqueName="2" name="Batch_x000a_Number" queryTableFieldId="2" dataDxfId="89"/>
    <tableColumn id="3" xr3:uid="{B1E08FDE-2BE3-4680-A939-2A2A3B3BE893}" uniqueName="3" name="Strike Date" queryTableFieldId="3" dataDxfId="88"/>
    <tableColumn id="4" xr3:uid="{4BB82320-1751-407A-B4AB-3CF9219A59A6}" uniqueName="4" name="Received_x000a_Volume" queryTableFieldId="4" dataDxfId="87"/>
    <tableColumn id="5" xr3:uid="{F508B6DF-1079-4400-805E-0E6D739563D4}" uniqueName="5" name="Received Value" queryTableFieldId="5" dataCellStyle="Currency"/>
    <tableColumn id="6" xr3:uid="{7997A5EB-D035-41A4-A9ED-6885B2D94ABF}" uniqueName="6" name="Rejected_x000a_Volume" queryTableFieldId="6" dataDxfId="86"/>
    <tableColumn id="7" xr3:uid="{E3E782D9-8EB8-48BC-A0C1-E0D9635CE3C8}" uniqueName="7" name="Rejected Value" queryTableFieldId="7" dataDxfId="85" dataCellStyle="Currency"/>
    <tableColumn id="8" xr3:uid="{2D7C575A-13A1-4701-AB28-B59D91895614}" uniqueName="8" name="Accepted_x000a_Volume" queryTableFieldId="8" dataDxfId="84"/>
    <tableColumn id="9" xr3:uid="{56CA2A2A-857E-4278-8D2B-E863D061CF1A}" uniqueName="9" name="Accepted Value" queryTableFieldId="9" dataCellStyle="Currency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F28B79-0572-41CE-8775-BA85A5F15DCB}" name="Table002__Page_1___6" displayName="Table002__Page_1___6" ref="A2:I33" tableType="queryTable" totalsRowShown="0">
  <autoFilter ref="A2:I33" xr:uid="{CBF28B79-0572-41CE-8775-BA85A5F15DCB}"/>
  <tableColumns count="9">
    <tableColumn id="1" xr3:uid="{5F52D295-ADB4-46B6-9BD1-B2BD2DA1B733}" uniqueName="1" name="Import Date" queryTableFieldId="1" dataDxfId="83"/>
    <tableColumn id="2" xr3:uid="{901E5794-69C0-4049-ADAE-1F5E8DA240E3}" uniqueName="2" name="Batch_x000a_Number" queryTableFieldId="2" dataDxfId="82"/>
    <tableColumn id="3" xr3:uid="{9EBAB943-8D9D-481F-A539-DCE8D7F10A91}" uniqueName="3" name="Strike Date" queryTableFieldId="3" dataDxfId="81"/>
    <tableColumn id="4" xr3:uid="{5E2435DE-4CDF-4435-8DB8-EDDD6EF09E6D}" uniqueName="4" name="Received_x000a_Volume" queryTableFieldId="4" dataDxfId="80"/>
    <tableColumn id="5" xr3:uid="{CEB51E48-D14A-4308-9AB9-E9D576A24DD0}" uniqueName="5" name="Received Value" queryTableFieldId="5" dataCellStyle="Currency"/>
    <tableColumn id="6" xr3:uid="{CC8009F6-A6C7-4424-9714-314ED015A667}" uniqueName="6" name="Rejected_x000a_Volume" queryTableFieldId="6" dataDxfId="79"/>
    <tableColumn id="7" xr3:uid="{18216EE3-971F-4243-AF69-8AC42C2B8878}" uniqueName="7" name="Rejected Value" queryTableFieldId="7" dataDxfId="78" dataCellStyle="Currency"/>
    <tableColumn id="8" xr3:uid="{10818B15-7229-4F2E-8A3E-4E113F34290F}" uniqueName="8" name="Accepted_x000a_Volume" queryTableFieldId="8" dataDxfId="77"/>
    <tableColumn id="9" xr3:uid="{1152891F-3F35-4DBA-9AAB-993BF65CCE64}" uniqueName="9" name="Accepted Value" queryTableFieldId="9" dataCellStyle="Currency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8F72B6B-75BB-4643-BA7D-38BB0D543585}" name="Table002__Page_12022" displayName="Table002__Page_12022" ref="A2:I33" tableType="queryTable" totalsRowShown="0">
  <autoFilter ref="A2:I33" xr:uid="{24A10E1A-4BCD-41B9-9006-A7709CC617ED}"/>
  <tableColumns count="9">
    <tableColumn id="1" xr3:uid="{D2EE5A05-04E5-4EFC-A4AE-ABADE1C1D534}" uniqueName="1" name="Import Date" queryTableFieldId="1" dataDxfId="76"/>
    <tableColumn id="2" xr3:uid="{ED501733-269E-40DF-91FB-7FC669C6ADEA}" uniqueName="2" name="Batch_x000a_Number" queryTableFieldId="2" dataDxfId="75"/>
    <tableColumn id="3" xr3:uid="{5422D759-769E-4809-B1D1-BC9CC0657972}" uniqueName="3" name="Strike Date" queryTableFieldId="3" dataDxfId="74"/>
    <tableColumn id="4" xr3:uid="{FF1E3B60-C829-444F-960C-2F80510B89FF}" uniqueName="4" name="Received_x000a_Volume" queryTableFieldId="4" dataDxfId="73"/>
    <tableColumn id="5" xr3:uid="{3AE72C03-39D5-437D-B1E7-B048B3EF6341}" uniqueName="5" name="Received Value" queryTableFieldId="5" dataCellStyle="Currency"/>
    <tableColumn id="6" xr3:uid="{4D53710C-E47A-4DEC-B89E-DEC2A370EC50}" uniqueName="6" name="Rejected_x000a_Volume" queryTableFieldId="6" dataDxfId="72"/>
    <tableColumn id="7" xr3:uid="{4D0C191B-C587-4779-B209-FF25E4642D55}" uniqueName="7" name="Rejected Value" queryTableFieldId="7" dataDxfId="71" dataCellStyle="Currency"/>
    <tableColumn id="8" xr3:uid="{4461CC59-C4E6-41A6-AA94-0C58DDC9FFE8}" uniqueName="8" name="Accepted_x000a_Volume" queryTableFieldId="8" dataDxfId="70"/>
    <tableColumn id="9" xr3:uid="{BB9BB44C-0B7E-4CC0-8BE5-2F29FD2044EA}" uniqueName="9" name="Accepted Value" queryTableFieldId="9" dataCellStyle="Currency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AE169C-A6FA-4783-A111-4378A2D797D9}" name="Table002__Page_1___7" displayName="Table002__Page_1___7" ref="A2:I33" tableType="queryTable" totalsRowShown="0">
  <autoFilter ref="A2:I33" xr:uid="{4FAE169C-A6FA-4783-A111-4378A2D797D9}"/>
  <tableColumns count="9">
    <tableColumn id="1" xr3:uid="{C72825D7-214E-4372-B9D0-9B58DB3FD1B2}" uniqueName="1" name="Import Date" queryTableFieldId="1" dataDxfId="69"/>
    <tableColumn id="2" xr3:uid="{44348AB8-7270-42D7-870C-06BD719B95FF}" uniqueName="2" name="Batch_x000a_Number" queryTableFieldId="2" dataDxfId="68"/>
    <tableColumn id="3" xr3:uid="{A244340B-7BFE-44F0-BDB5-DD91A3545F97}" uniqueName="3" name="Strike Date" queryTableFieldId="3" dataDxfId="67"/>
    <tableColumn id="4" xr3:uid="{FA4EF1B5-48E9-4628-8EBC-5CC59C9A750D}" uniqueName="4" name="Received_x000a_Volume" queryTableFieldId="4" dataDxfId="66"/>
    <tableColumn id="5" xr3:uid="{0268D009-B0E7-44EF-8F32-8974E9F02E64}" uniqueName="5" name="Received Value" queryTableFieldId="5" dataCellStyle="Currency"/>
    <tableColumn id="6" xr3:uid="{247770F8-D944-4260-AB85-670CD5716F91}" uniqueName="6" name="Rejected_x000a_Volume" queryTableFieldId="6" dataDxfId="65"/>
    <tableColumn id="7" xr3:uid="{98BF62B3-FCC3-407E-BDD7-98BE5AF91B38}" uniqueName="7" name="Rejected Value" queryTableFieldId="7" dataDxfId="64" dataCellStyle="Currency"/>
    <tableColumn id="8" xr3:uid="{E2FCDDBF-0175-4FB2-9665-C493A5CF8D5C}" uniqueName="8" name="Accepted_x000a_Volume" queryTableFieldId="8" dataDxfId="63"/>
    <tableColumn id="9" xr3:uid="{3E5BEB86-329B-4F5B-B0B1-4EC9C0B30C07}" uniqueName="9" name="Accepted Value" queryTableFieldId="9" dataCellStyle="Currency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CC9D5D-363B-45BC-819C-30092D9D6C68}" name="Table002__Page_1___8" displayName="Table002__Page_1___8" ref="A2:I33" tableType="queryTable" totalsRowShown="0">
  <autoFilter ref="A2:I33" xr:uid="{A4CC9D5D-363B-45BC-819C-30092D9D6C68}"/>
  <tableColumns count="9">
    <tableColumn id="1" xr3:uid="{808F2E0C-3684-4A2C-8B63-B00C9F182451}" uniqueName="1" name="Import Date" queryTableFieldId="1" dataDxfId="62"/>
    <tableColumn id="2" xr3:uid="{ABC9A3DE-00AB-4B72-B69C-F6FAC1FB4914}" uniqueName="2" name="Batch_x000a_Number" queryTableFieldId="2" dataDxfId="61"/>
    <tableColumn id="3" xr3:uid="{A84B0A2C-3084-488E-9AE1-E5C4C5674260}" uniqueName="3" name="Strike Date" queryTableFieldId="3" dataDxfId="60"/>
    <tableColumn id="4" xr3:uid="{09C15585-A361-44E6-A2D1-62C5C78124B4}" uniqueName="4" name="Received_x000a_Volume" queryTableFieldId="4" dataDxfId="59"/>
    <tableColumn id="5" xr3:uid="{B89DB24C-7CC7-4501-9F2A-668339368BAB}" uniqueName="5" name="Received Value" queryTableFieldId="5" dataCellStyle="Currency"/>
    <tableColumn id="6" xr3:uid="{5402F19B-009B-46DF-B62E-AE6D445005E9}" uniqueName="6" name="Rejected_x000a_Volume" queryTableFieldId="6" dataDxfId="58"/>
    <tableColumn id="7" xr3:uid="{67C9FBFB-C968-4FCE-8C4C-C861814DEC2E}" uniqueName="7" name="Rejected Value" queryTableFieldId="7" dataDxfId="57" dataCellStyle="Currency"/>
    <tableColumn id="8" xr3:uid="{4F889352-30B5-4825-839A-2C81AC70AC04}" uniqueName="8" name="Accepted_x000a_Volume" queryTableFieldId="8" dataDxfId="56"/>
    <tableColumn id="9" xr3:uid="{12423A87-9A41-42EA-92CB-92E8EEC3C3C7}" uniqueName="9" name="Accepted Value" queryTableFieldId="9" dataCellStyle="Currency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A97B24-A3AE-47D1-A634-0BFD4CB14D58}" name="Table002__Page_1___9" displayName="Table002__Page_1___9" ref="A2:I33" tableType="queryTable" totalsRowShown="0">
  <autoFilter ref="A2:I33" xr:uid="{1CA97B24-A3AE-47D1-A634-0BFD4CB14D58}"/>
  <tableColumns count="9">
    <tableColumn id="1" xr3:uid="{B067F900-9509-468D-B146-67035E412577}" uniqueName="1" name="Import Date" queryTableFieldId="1" dataDxfId="55"/>
    <tableColumn id="2" xr3:uid="{0F742CB9-6DA5-4686-ADC9-CBCED0A881E8}" uniqueName="2" name="Batch_x000a_Number" queryTableFieldId="2" dataDxfId="54"/>
    <tableColumn id="3" xr3:uid="{5EB1DE45-D15A-4553-8FE1-05F782065AD7}" uniqueName="3" name="Strike Date" queryTableFieldId="3" dataDxfId="53"/>
    <tableColumn id="4" xr3:uid="{44F64F8B-EB94-4F71-ADB3-438CAD7D953B}" uniqueName="4" name="Received_x000a_Volume" queryTableFieldId="4" dataDxfId="52"/>
    <tableColumn id="5" xr3:uid="{05616F62-6A77-415E-B1CA-F8F19E0AB871}" uniqueName="5" name="Received Value" queryTableFieldId="5" dataCellStyle="Currency"/>
    <tableColumn id="6" xr3:uid="{ECD23E29-1E6F-483E-A626-D36DE6A681DD}" uniqueName="6" name="Rejected_x000a_Volume" queryTableFieldId="6" dataDxfId="51"/>
    <tableColumn id="7" xr3:uid="{94A6A6C8-E013-4588-A34D-2DFB2D7AF9C5}" uniqueName="7" name="Rejected Value" queryTableFieldId="7" dataDxfId="50" dataCellStyle="Currency"/>
    <tableColumn id="8" xr3:uid="{FB012820-8A6B-41D1-AF96-1B20F6E1ACBE}" uniqueName="8" name="Accepted_x000a_Volume" queryTableFieldId="8" dataDxfId="49"/>
    <tableColumn id="9" xr3:uid="{7BEE655F-98A9-4DEC-9AF8-9810C5954FDB}" uniqueName="9" name="Accepted Value" queryTableFieldId="9" dataCellStyle="Currency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247ED76-9761-4C00-8AE9-307C7A0EB658}" name="Table002__Page_1202223" displayName="Table002__Page_1202223" ref="A2:I33" tableType="queryTable" totalsRowShown="0">
  <autoFilter ref="A2:I33" xr:uid="{24A10E1A-4BCD-41B9-9006-A7709CC617ED}"/>
  <tableColumns count="9">
    <tableColumn id="1" xr3:uid="{F5360DE3-A2FE-4840-B956-42E2ADAF7448}" uniqueName="1" name="Import Date" queryTableFieldId="1" dataDxfId="48"/>
    <tableColumn id="2" xr3:uid="{87773612-93A6-4EFC-927A-99DA1FF85CCE}" uniqueName="2" name="Batch_x000a_Number" queryTableFieldId="2" dataDxfId="47"/>
    <tableColumn id="3" xr3:uid="{FC41688C-7D54-4A35-A73B-93AC68D49E4E}" uniqueName="3" name="Strike Date" queryTableFieldId="3" dataDxfId="46"/>
    <tableColumn id="4" xr3:uid="{618CD21C-D6A2-4ED6-A891-503F3F74243E}" uniqueName="4" name="Received_x000a_Volume" queryTableFieldId="4" dataDxfId="45"/>
    <tableColumn id="5" xr3:uid="{0D511E1C-6FE9-484D-8484-205B98875339}" uniqueName="5" name="Received Value" queryTableFieldId="5" dataCellStyle="Currency"/>
    <tableColumn id="6" xr3:uid="{E45445A8-CC5B-433F-8B50-6365C50D6E85}" uniqueName="6" name="Rejected_x000a_Volume" queryTableFieldId="6" dataDxfId="44"/>
    <tableColumn id="7" xr3:uid="{241EFECC-F815-4905-885C-DE8B857CFDB1}" uniqueName="7" name="Rejected Value" queryTableFieldId="7" dataDxfId="43" dataCellStyle="Currency"/>
    <tableColumn id="8" xr3:uid="{13E06EC7-6CFC-40E7-ADB8-5430B8D8D98C}" uniqueName="8" name="Accepted_x000a_Volume" queryTableFieldId="8" dataDxfId="42"/>
    <tableColumn id="9" xr3:uid="{79ACCDF7-D0D5-4C27-AF7E-90210C3EEFE1}" uniqueName="9" name="Accepted Value" queryTableFieldId="9" dataCellStyle="Currency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356103-D151-4DBB-ADC0-B3DA05C329D8}" name="Table002__Page_1___13" displayName="Table002__Page_1___13" ref="A2:I33" tableType="queryTable" totalsRowShown="0">
  <autoFilter ref="A2:I33" xr:uid="{CA356103-D151-4DBB-ADC0-B3DA05C329D8}"/>
  <tableColumns count="9">
    <tableColumn id="1" xr3:uid="{F28F4A89-D659-44FB-BB80-78ABF24F7E96}" uniqueName="1" name="Import Date" queryTableFieldId="1" dataDxfId="41"/>
    <tableColumn id="2" xr3:uid="{3E921B85-DBC0-47DD-88E2-A53B893DB7B9}" uniqueName="2" name="Batch_x000a_Number" queryTableFieldId="2" dataDxfId="40"/>
    <tableColumn id="3" xr3:uid="{71F98D06-A644-483D-AD28-D1FEEC3E4698}" uniqueName="3" name="Strike Date" queryTableFieldId="3" dataDxfId="39"/>
    <tableColumn id="4" xr3:uid="{9E444AB2-C124-4B3A-AB36-F9006DBF4AB4}" uniqueName="4" name="Received_x000a_Volume" queryTableFieldId="4" dataDxfId="38"/>
    <tableColumn id="5" xr3:uid="{2B4422D8-E1CB-412B-9699-E569E4E71859}" uniqueName="5" name="Received Value" queryTableFieldId="5" dataCellStyle="Currency"/>
    <tableColumn id="6" xr3:uid="{6F31B622-2C5D-42EF-A47F-BC7C8C6F6A82}" uniqueName="6" name="Rejected_x000a_Volume" queryTableFieldId="6" dataDxfId="37"/>
    <tableColumn id="7" xr3:uid="{CD177233-A6A4-4ADD-8835-83C902B3DB0C}" uniqueName="7" name="Rejected Value" queryTableFieldId="7" dataDxfId="36" dataCellStyle="Currency"/>
    <tableColumn id="8" xr3:uid="{B458BB9C-9098-402D-9C60-4A716575F358}" uniqueName="8" name="Accepted_x000a_Volume" queryTableFieldId="8" dataDxfId="35"/>
    <tableColumn id="9" xr3:uid="{0520F0AD-3E62-4237-B157-1ED1FCE3FBB5}" uniqueName="9" name="Accepted Value" queryTableFieldId="9" dataCellStyle="Currency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DFB59FA-1700-4F73-9976-FA5AAE6E0D9C}" name="Table002__Page_1___14" displayName="Table002__Page_1___14" ref="A2:I33" tableType="queryTable" totalsRowShown="0">
  <autoFilter ref="A2:I33" xr:uid="{EDFB59FA-1700-4F73-9976-FA5AAE6E0D9C}"/>
  <tableColumns count="9">
    <tableColumn id="1" xr3:uid="{45630D02-AD9C-48DC-B77F-0C3D4C0F0747}" uniqueName="1" name="Import Date" queryTableFieldId="1" dataDxfId="34"/>
    <tableColumn id="2" xr3:uid="{7F0FE5A5-72E4-4AB5-AFC9-B4E794B83DD1}" uniqueName="2" name="Batch_x000a_Number" queryTableFieldId="2" dataDxfId="33"/>
    <tableColumn id="3" xr3:uid="{FD133222-DE0B-47A2-A2A5-4DE4ADAB8AC6}" uniqueName="3" name="Strike Date" queryTableFieldId="3" dataDxfId="32"/>
    <tableColumn id="4" xr3:uid="{7018DEFF-A40A-410B-84C5-A9D74687B48D}" uniqueName="4" name="Received_x000a_Volume" queryTableFieldId="4" dataDxfId="31"/>
    <tableColumn id="5" xr3:uid="{7EA42361-5545-4DD6-86BA-94BD0EF2742F}" uniqueName="5" name="Received Value" queryTableFieldId="5" dataCellStyle="Currency"/>
    <tableColumn id="6" xr3:uid="{CC77A2B1-E120-439D-ABCD-0CD9F6D1CE4A}" uniqueName="6" name="Rejected_x000a_Volume" queryTableFieldId="6" dataDxfId="30"/>
    <tableColumn id="7" xr3:uid="{C616AE42-0628-4EA8-8164-B03E48B63C7F}" uniqueName="7" name="Rejected Value" queryTableFieldId="7" dataDxfId="29" dataCellStyle="Currency"/>
    <tableColumn id="8" xr3:uid="{FF555D0C-270D-4BEB-95E1-35C7DBBD5587}" uniqueName="8" name="Accepted_x000a_Volume" queryTableFieldId="8" dataDxfId="28"/>
    <tableColumn id="9" xr3:uid="{F097F9B5-42D7-482A-BBE4-AE41A0F3EE69}" uniqueName="9" name="Accepted Value" queryTableFieldId="9" dataCellStyle="Currency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DD568A3-906C-4C1B-A0DC-F832E623FB7E}" name="Table002__Page_1___15" displayName="Table002__Page_1___15" ref="A2:I33" tableType="queryTable" totalsRowShown="0">
  <autoFilter ref="A2:I33" xr:uid="{4DD568A3-906C-4C1B-A0DC-F832E623FB7E}"/>
  <tableColumns count="9">
    <tableColumn id="1" xr3:uid="{C515B9F1-3197-48E5-A20A-C9105466A981}" uniqueName="1" name="Import Date" queryTableFieldId="1" dataDxfId="27"/>
    <tableColumn id="2" xr3:uid="{7CE2A57A-C911-4BC9-9678-783322DB5617}" uniqueName="2" name="Batch_x000a_Number" queryTableFieldId="2" dataDxfId="26"/>
    <tableColumn id="3" xr3:uid="{61CDA840-09BF-419E-BCB3-A3EBF89E1D73}" uniqueName="3" name="Strike Date" queryTableFieldId="3" dataDxfId="25"/>
    <tableColumn id="4" xr3:uid="{8FE07DED-7E7E-4CE2-96A4-62C8DD34FF29}" uniqueName="4" name="Received_x000a_Volume" queryTableFieldId="4" dataDxfId="24"/>
    <tableColumn id="5" xr3:uid="{1920F39C-613F-47C0-AC8C-AA2BC12BD6F8}" uniqueName="5" name="Received Value" queryTableFieldId="5" dataCellStyle="Currency"/>
    <tableColumn id="6" xr3:uid="{869B9104-6AE4-425B-BA55-C515AEF612CC}" uniqueName="6" name="Rejected_x000a_Volume" queryTableFieldId="6" dataDxfId="23"/>
    <tableColumn id="7" xr3:uid="{DE3880CA-5AC1-4D54-8088-0D7E33EF16B1}" uniqueName="7" name="Rejected Value" queryTableFieldId="7" dataDxfId="22" dataCellStyle="Currency"/>
    <tableColumn id="8" xr3:uid="{26B60C62-DECB-4788-890A-4DC0AC3FCC11}" uniqueName="8" name="Accepted_x000a_Volume" queryTableFieldId="8" dataDxfId="21"/>
    <tableColumn id="9" xr3:uid="{B3260A37-509F-4D1C-AD10-CB0A866EED53}" uniqueName="9" name="Accepted Value" queryTableFieldId="9" dataCellStyle="Currency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1524ADF-8504-45B6-8F7B-9B821A861957}" name="Table002__Page_1___16" displayName="Table002__Page_1___16" ref="A2:I33" tableType="queryTable" totalsRowShown="0">
  <autoFilter ref="A2:I33" xr:uid="{71524ADF-8504-45B6-8F7B-9B821A861957}"/>
  <tableColumns count="9">
    <tableColumn id="1" xr3:uid="{A09E456D-FB5B-4276-B268-212EC245A42F}" uniqueName="1" name="Import Date" queryTableFieldId="1" dataDxfId="20"/>
    <tableColumn id="2" xr3:uid="{F7F53EE0-45DE-4240-A52D-C5573DFCE77B}" uniqueName="2" name="Batch_x000a_Number" queryTableFieldId="2" dataDxfId="19"/>
    <tableColumn id="3" xr3:uid="{76374305-904D-46C8-A8B9-9346EDCCDBD3}" uniqueName="3" name="Strike Date" queryTableFieldId="3" dataDxfId="18"/>
    <tableColumn id="4" xr3:uid="{FA8235A8-7009-4397-B2AA-59F9CB621972}" uniqueName="4" name="Received_x000a_Volume" queryTableFieldId="4" dataDxfId="17"/>
    <tableColumn id="5" xr3:uid="{4844C26A-8742-4C36-9334-0679E81E7A8D}" uniqueName="5" name="Received Value" queryTableFieldId="5" dataCellStyle="Currency"/>
    <tableColumn id="6" xr3:uid="{A301D519-E2B8-4A49-A70F-D45A1EFD48FE}" uniqueName="6" name="Rejected_x000a_Volume" queryTableFieldId="6" dataDxfId="16"/>
    <tableColumn id="7" xr3:uid="{72C9B4E5-4F2A-43AA-B8A3-84C5D9B4EF55}" uniqueName="7" name="Rejected Value" queryTableFieldId="7" dataDxfId="15" dataCellStyle="Currency"/>
    <tableColumn id="8" xr3:uid="{BB0EF278-4BF4-4348-AFFE-D70E4953F35C}" uniqueName="8" name="Accepted_x000a_Volume" queryTableFieldId="8" dataDxfId="14"/>
    <tableColumn id="9" xr3:uid="{E8ADE50B-78F6-4F75-AD2A-A22205DD51E0}" uniqueName="9" name="Accepted Value" queryTableFieldId="9" dataCellStyle="Currency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D7B43B-41FE-441C-9F29-0946F0035B66}" name="Table002__Page_12024" displayName="Table002__Page_12024" ref="A2:I33" tableType="queryTable" totalsRowShown="0">
  <autoFilter ref="A2:I33" xr:uid="{24A10E1A-4BCD-41B9-9006-A7709CC617ED}"/>
  <tableColumns count="9">
    <tableColumn id="1" xr3:uid="{2BAE5390-AEE3-46C7-B58A-7EFF7BC7D13E}" uniqueName="1" name="Import Date" queryTableFieldId="1" dataDxfId="13"/>
    <tableColumn id="2" xr3:uid="{2D6F5450-A1DD-41DD-8C5F-61EC62B4ADD5}" uniqueName="2" name="Batch_x000a_Number" queryTableFieldId="2" dataDxfId="12"/>
    <tableColumn id="3" xr3:uid="{EAECA0CA-0D68-483E-AD6C-D35AB542C47F}" uniqueName="3" name="Strike Date" queryTableFieldId="3" dataDxfId="11"/>
    <tableColumn id="4" xr3:uid="{92048842-5F1B-4EE9-BBFB-4CD7761A3BBE}" uniqueName="4" name="Received_x000a_Volume" queryTableFieldId="4" dataDxfId="10"/>
    <tableColumn id="5" xr3:uid="{EE9345B1-FBC1-4FCF-AB38-3CE4A4203921}" uniqueName="5" name="Received Value" queryTableFieldId="5" dataCellStyle="Currency"/>
    <tableColumn id="6" xr3:uid="{EFE10CCF-9B7F-42A4-AEC9-3D1E5AD2466E}" uniqueName="6" name="Rejected_x000a_Volume" queryTableFieldId="6" dataDxfId="9"/>
    <tableColumn id="7" xr3:uid="{68741589-8F5F-4A8E-9355-6C2E6B0A0CED}" uniqueName="7" name="Rejected Value" queryTableFieldId="7" dataDxfId="8"/>
    <tableColumn id="8" xr3:uid="{B28BAB90-806D-45D4-8825-C478D4ECF689}" uniqueName="8" name="Accepted_x000a_Volume" queryTableFieldId="8" dataDxfId="7"/>
    <tableColumn id="9" xr3:uid="{F19D7C88-6F5F-444A-88C0-637786763BB8}" uniqueName="9" name="Accepted Value" queryTableFieldId="9" dataCellStyle="Currency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055DEDB-9386-4D21-8A9A-192D0305EA3A}" name="Table002__Page_1202425" displayName="Table002__Page_1202425" ref="A2:I33" tableType="queryTable" totalsRowShown="0">
  <autoFilter ref="A2:I33" xr:uid="{24A10E1A-4BCD-41B9-9006-A7709CC617ED}"/>
  <tableColumns count="9">
    <tableColumn id="1" xr3:uid="{2DBDB7DE-7E70-480D-8B05-70F9AAA9EB45}" uniqueName="1" name="Import Date" queryTableFieldId="1" dataDxfId="6"/>
    <tableColumn id="2" xr3:uid="{E299FFEE-74C9-4ED0-A986-7B7CD71879F8}" uniqueName="2" name="Batch_x000a_Number" queryTableFieldId="2" dataDxfId="5"/>
    <tableColumn id="3" xr3:uid="{439E77A6-F87D-45E3-9DC4-A1AEF579BDD9}" uniqueName="3" name="Strike Date" queryTableFieldId="3" dataDxfId="4"/>
    <tableColumn id="4" xr3:uid="{8AC703EE-3830-4254-B9F3-A654D9332A23}" uniqueName="4" name="Received_x000a_Volume" queryTableFieldId="4" dataDxfId="3"/>
    <tableColumn id="5" xr3:uid="{9D7B5F38-46CC-40B6-89D9-797F1492AC14}" uniqueName="5" name="Received Value" queryTableFieldId="5" dataCellStyle="Currency"/>
    <tableColumn id="6" xr3:uid="{356B0137-198E-4D3E-997E-EF26A27884C7}" uniqueName="6" name="Rejected_x000a_Volume" queryTableFieldId="6" dataDxfId="2"/>
    <tableColumn id="7" xr3:uid="{DF8D4AED-E4AA-4AAF-BDED-A0F3B9137507}" uniqueName="7" name="Rejected Value" queryTableFieldId="7" dataDxfId="1" dataCellStyle="Currency"/>
    <tableColumn id="8" xr3:uid="{CA146378-1760-467D-B667-CCA401F1F498}" uniqueName="8" name="Accepted_x000a_Volume" queryTableFieldId="8" dataDxfId="0"/>
    <tableColumn id="9" xr3:uid="{C4BF5C09-44ED-4C43-904D-613844D689D7}" uniqueName="9" name="Accepted Value" queryTableFieldId="9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EB1F-EBB0-4D02-90C4-3E3D2204F8C5}">
  <dimension ref="A1:N33"/>
  <sheetViews>
    <sheetView tabSelected="1" zoomScaleNormal="100" workbookViewId="0">
      <pane ySplit="1" topLeftCell="A2" activePane="bottomLeft" state="frozen"/>
      <selection pane="bottomLeft" activeCell="B30" sqref="B30"/>
    </sheetView>
  </sheetViews>
  <sheetFormatPr defaultRowHeight="14.5" x14ac:dyDescent="0.35"/>
  <cols>
    <col min="1" max="1" width="20.90625" style="22" bestFit="1" customWidth="1"/>
    <col min="2" max="2" width="9.54296875" style="20" customWidth="1"/>
    <col min="3" max="3" width="16.453125" style="9" customWidth="1"/>
    <col min="4" max="4" width="10" style="24" customWidth="1"/>
    <col min="5" max="5" width="16.453125" style="9" customWidth="1"/>
    <col min="7" max="7" width="11.7265625" bestFit="1" customWidth="1"/>
    <col min="8" max="8" width="18.54296875" customWidth="1"/>
    <col min="9" max="9" width="11" customWidth="1"/>
    <col min="10" max="10" width="13.6328125" style="2" bestFit="1" customWidth="1"/>
    <col min="11" max="11" width="11" customWidth="1"/>
    <col min="12" max="12" width="11" style="2" customWidth="1"/>
    <col min="13" max="13" width="11" customWidth="1"/>
    <col min="14" max="14" width="13.6328125" style="2" bestFit="1" customWidth="1"/>
  </cols>
  <sheetData>
    <row r="1" spans="1:14" s="5" customFormat="1" x14ac:dyDescent="0.35">
      <c r="A1" s="21" t="s">
        <v>10</v>
      </c>
      <c r="B1" s="19" t="s">
        <v>9</v>
      </c>
      <c r="C1" s="8" t="s">
        <v>11</v>
      </c>
      <c r="D1" s="23" t="s">
        <v>12</v>
      </c>
      <c r="E1" s="8" t="s">
        <v>13</v>
      </c>
      <c r="H1" s="21" t="s">
        <v>38</v>
      </c>
      <c r="I1" s="19" t="s">
        <v>35</v>
      </c>
      <c r="J1" s="8" t="s">
        <v>11</v>
      </c>
      <c r="K1" s="23" t="s">
        <v>12</v>
      </c>
      <c r="L1" s="8" t="s">
        <v>13</v>
      </c>
      <c r="M1" s="23" t="s">
        <v>36</v>
      </c>
      <c r="N1" s="8" t="s">
        <v>37</v>
      </c>
    </row>
    <row r="2" spans="1:14" x14ac:dyDescent="0.35">
      <c r="A2" s="22">
        <v>46023</v>
      </c>
      <c r="B2" s="20">
        <f>ACU!D3+AIB!D3+ARC!D3+AXS!D3+BOU!D3+BPO!D3+CSS!D3+MAM!D3+MED!D3+MEM!D3+MKT!D3+MTS!D3+NAV!D3+'NUM{THR}'!D3+PAR!D3+RAN!D3+RCO!D3+SA!D3+TFG!D3+TLD!D3</f>
        <v>0</v>
      </c>
      <c r="C2" s="18">
        <f>ACU!E3+AIB!E3+ARC!E3+AXS!E3+BOU!E3+BPO!E3+CSS!E3+MAM!E3+MED!E3+MEM!E3+MKT!E3+MTS!E3+NAV!E3+'NUM{THR}'!E3+PAR!E3+RAN!E3+RCO!E3+SA!E3+TFG!E3+TLD!E3</f>
        <v>0</v>
      </c>
      <c r="D2" s="24">
        <f>ACU!F3+AIB!F3+ARC!F3+AXS!F3+BOU!F3+BPO!F3+CSS!F3+MAM!F3+MED!F3+MEM!F3+MKT!F3+MTS!F3+NAV!F3+'NUM{THR}'!F3+PAR!F3+RAN!F3+RCO!F3+SA!F3+TFG!F3+TLD!F3</f>
        <v>0</v>
      </c>
      <c r="E2" s="18">
        <f>ACU!G3+AIB!G3+ARC!G3+AXS!G3+BOU!G3+BPO!G3+CSS!G3+MAM!G3+MED!G3+MEM!G3+MKT!G3+MTS!G3+NAV!G3+'NUM{THR}'!G3+PAR!G3+RAN!G3+RCO!G3+SA!G3+TFG!G3+TLD!G3</f>
        <v>0</v>
      </c>
      <c r="H2" s="22" t="s">
        <v>15</v>
      </c>
      <c r="I2" s="20">
        <f>ACU!D1</f>
        <v>1</v>
      </c>
      <c r="J2" s="25">
        <f>ACU!E1</f>
        <v>578</v>
      </c>
      <c r="K2" s="24">
        <f>ACU!F1</f>
        <v>0</v>
      </c>
      <c r="L2" s="25">
        <f>ACU!G1</f>
        <v>0</v>
      </c>
      <c r="M2" s="24">
        <f>ACU!H1</f>
        <v>1</v>
      </c>
      <c r="N2" s="25">
        <f>ACU!I1</f>
        <v>578</v>
      </c>
    </row>
    <row r="3" spans="1:14" x14ac:dyDescent="0.35">
      <c r="A3" s="22">
        <v>46024</v>
      </c>
      <c r="B3" s="20">
        <f>ACU!D4+AIB!D4+ARC!D4+AXS!D4+BOU!D4+BPO!D4+CSS!D4+MAM!D4+MED!D4+MEM!D4+MKT!D4+MTS!D4+NAV!D4+'NUM{THR}'!D4+PAR!D4+RAN!D4+RCO!D4+SA!D4+TFG!D4+TLD!D4</f>
        <v>692</v>
      </c>
      <c r="C3" s="18">
        <f>ACU!E4+AIB!E4+ARC!E4+AXS!E4+BOU!E4+BPO!E4+CSS!E4+MAM!E4+MED!E4+MEM!E4+MKT!E4+MTS!E4+NAV!E4+'NUM{THR}'!E4+PAR!E4+RAN!E4+RCO!E4+SA!E4+TFG!E4+TLD!E4</f>
        <v>719306</v>
      </c>
      <c r="D3" s="24">
        <f>ACU!F4+AIB!F4+ARC!F4+AXS!F4+BOU!F4+BPO!F4+CSS!F4+MAM!F4+MED!F4+MEM!F4+MKT!F4+MTS!F4+NAV!F4+'NUM{THR}'!F4+PAR!F4+RAN!F4+RCO!F4+SA!F4+TFG!F4+TLD!F4</f>
        <v>0</v>
      </c>
      <c r="E3" s="18">
        <f>ACU!G4+AIB!G4+ARC!G4+AXS!G4+BOU!G4+BPO!G4+CSS!G4+MAM!G4+MED!G4+MEM!G4+MKT!G4+MTS!G4+NAV!G4+'NUM{THR}'!G4+PAR!G4+RAN!G4+RCO!G4+SA!G4+TFG!G4+TLD!G4</f>
        <v>0</v>
      </c>
      <c r="H3" s="22" t="s">
        <v>16</v>
      </c>
      <c r="I3" s="20">
        <f>AIB!D1</f>
        <v>12</v>
      </c>
      <c r="J3" s="9">
        <f>AIB!E1</f>
        <v>9589</v>
      </c>
      <c r="K3" s="24">
        <f>AIB!F1</f>
        <v>0</v>
      </c>
      <c r="L3" s="9">
        <f>AIB!G1</f>
        <v>0</v>
      </c>
      <c r="M3" s="24">
        <f>AIB!H1</f>
        <v>12</v>
      </c>
      <c r="N3" s="9">
        <f>AIB!I1</f>
        <v>9589</v>
      </c>
    </row>
    <row r="4" spans="1:14" x14ac:dyDescent="0.35">
      <c r="A4" s="22">
        <v>46025</v>
      </c>
      <c r="B4" s="20">
        <f>ACU!D5+AIB!D5+ARC!D5+AXS!D5+BOU!D5+BPO!D5+CSS!D5+MAM!D5+MED!D5+MEM!D5+MKT!D5+MTS!D5+NAV!D5+'NUM{THR}'!D5+PAR!D5+RAN!D5+RCO!D5+SA!D5+TFG!D5+TLD!D5</f>
        <v>54</v>
      </c>
      <c r="C4" s="18">
        <f>ACU!E5+AIB!E5+ARC!E5+AXS!E5+BOU!E5+BPO!E5+CSS!E5+MAM!E5+MED!E5+MEM!E5+MKT!E5+MTS!E5+NAV!E5+'NUM{THR}'!E5+PAR!E5+RAN!E5+RCO!E5+SA!E5+TFG!E5+TLD!E5</f>
        <v>60182</v>
      </c>
      <c r="D4" s="24">
        <f>ACU!F5+AIB!F5+ARC!F5+AXS!F5+BOU!F5+BPO!F5+CSS!F5+MAM!F5+MED!F5+MEM!F5+MKT!F5+MTS!F5+NAV!F5+'NUM{THR}'!F5+PAR!F5+RAN!F5+RCO!F5+SA!F5+TFG!F5+TLD!F5</f>
        <v>0</v>
      </c>
      <c r="E4" s="18">
        <f>ACU!G5+AIB!G5+ARC!G5+AXS!G5+BOU!G5+BPO!G5+CSS!G5+MAM!G5+MED!G5+MEM!G5+MKT!G5+MTS!G5+NAV!G5+'NUM{THR}'!G5+PAR!G5+RAN!G5+RCO!G5+SA!G5+TFG!G5+TLD!G5</f>
        <v>0</v>
      </c>
      <c r="H4" s="22" t="s">
        <v>17</v>
      </c>
      <c r="I4" s="20">
        <f>ARC!D1</f>
        <v>16</v>
      </c>
      <c r="J4" s="9">
        <f>ARC!E1</f>
        <v>18078</v>
      </c>
      <c r="K4" s="24">
        <f>ARC!F1</f>
        <v>0</v>
      </c>
      <c r="L4" s="9">
        <f>ARC!G1</f>
        <v>0</v>
      </c>
      <c r="M4" s="24">
        <f>ARC!H1</f>
        <v>16</v>
      </c>
      <c r="N4" s="9">
        <f>ARC!I1</f>
        <v>18078</v>
      </c>
    </row>
    <row r="5" spans="1:14" x14ac:dyDescent="0.35">
      <c r="A5" s="22">
        <v>46026</v>
      </c>
      <c r="B5" s="20">
        <f>ACU!D6+AIB!D6+ARC!D6+AXS!D6+BOU!D6+BPO!D6+CSS!D6+MAM!D6+MED!D6+MEM!D6+MKT!D6+MTS!D6+NAV!D6+'NUM{THR}'!D6+PAR!D6+RAN!D6+RCO!D6+SA!D6+TFG!D6+TLD!D6</f>
        <v>0</v>
      </c>
      <c r="C5" s="18">
        <f>ACU!E6+AIB!E6+ARC!E6+AXS!E6+BOU!E6+BPO!E6+CSS!E6+MAM!E6+MED!E6+MEM!E6+MKT!E6+MTS!E6+NAV!E6+'NUM{THR}'!E6+PAR!E6+RAN!E6+RCO!E6+SA!E6+TFG!E6+TLD!E6</f>
        <v>0</v>
      </c>
      <c r="D5" s="24">
        <f>ACU!F6+AIB!F6+ARC!F6+AXS!F6+BOU!F6+BPO!F6+CSS!F6+MAM!F6+MED!F6+MEM!F6+MKT!F6+MTS!F6+NAV!F6+'NUM{THR}'!F6+PAR!F6+RAN!F6+RCO!F6+SA!F6+TFG!F6+TLD!F6</f>
        <v>0</v>
      </c>
      <c r="E5" s="18">
        <f>ACU!G6+AIB!G6+ARC!G6+AXS!G6+BOU!G6+BPO!G6+CSS!G6+MAM!G6+MED!G6+MEM!G6+MKT!G6+MTS!G6+NAV!G6+'NUM{THR}'!G6+PAR!G6+RAN!G6+RCO!G6+SA!G6+TFG!G6+TLD!G6</f>
        <v>0</v>
      </c>
      <c r="H5" s="22" t="s">
        <v>18</v>
      </c>
      <c r="I5" s="20">
        <f>AXS!D1</f>
        <v>15</v>
      </c>
      <c r="J5" s="9">
        <f>AXS!E1</f>
        <v>11591</v>
      </c>
      <c r="K5" s="24">
        <f>AXS!F1</f>
        <v>0</v>
      </c>
      <c r="L5" s="9">
        <f>AXS!G1</f>
        <v>0</v>
      </c>
      <c r="M5" s="24">
        <f>AXS!H1</f>
        <v>15</v>
      </c>
      <c r="N5" s="9">
        <f>AXS!I1</f>
        <v>11591</v>
      </c>
    </row>
    <row r="6" spans="1:14" x14ac:dyDescent="0.35">
      <c r="A6" s="22">
        <v>46027</v>
      </c>
      <c r="B6" s="20">
        <f>ACU!D7+AIB!D7+ARC!D7+AXS!D7+BOU!D7+BPO!D7+CSS!D7+MAM!D7+MED!D7+MEM!D7+MKT!D7+MTS!D7+NAV!D7+'NUM{THR}'!D7+PAR!D7+RAN!D7+RCO!D7+SA!D7+TFG!D7+TLD!D7</f>
        <v>77</v>
      </c>
      <c r="C6" s="18">
        <f>ACU!E7+AIB!E7+ARC!E7+AXS!E7+BOU!E7+BPO!E7+CSS!E7+MAM!E7+MED!E7+MEM!E7+MKT!E7+MTS!E7+NAV!E7+'NUM{THR}'!E7+PAR!E7+RAN!E7+RCO!E7+SA!E7+TFG!E7+TLD!E7</f>
        <v>77119</v>
      </c>
      <c r="D6" s="24">
        <f>ACU!F7+AIB!F7+ARC!F7+AXS!F7+BOU!F7+BPO!F7+CSS!F7+MAM!F7+MED!F7+MEM!F7+MKT!F7+MTS!F7+NAV!F7+'NUM{THR}'!F7+PAR!F7+RAN!F7+RCO!F7+SA!F7+TFG!F7+TLD!F7</f>
        <v>0</v>
      </c>
      <c r="E6" s="18">
        <f>ACU!G7+AIB!G7+ARC!G7+AXS!G7+BOU!G7+BPO!G7+CSS!G7+MAM!G7+MED!G7+MEM!G7+MKT!G7+MTS!G7+NAV!G7+'NUM{THR}'!G7+PAR!G7+RAN!G7+RCO!G7+SA!G7+TFG!G7+TLD!G7</f>
        <v>0</v>
      </c>
      <c r="H6" s="22" t="s">
        <v>19</v>
      </c>
      <c r="I6" s="20">
        <f>BOU!D1</f>
        <v>2</v>
      </c>
      <c r="J6" s="9">
        <f>BOU!E1</f>
        <v>1560</v>
      </c>
      <c r="K6" s="24">
        <f>BOU!F1</f>
        <v>0</v>
      </c>
      <c r="L6" s="9">
        <f>BOU!G1</f>
        <v>0</v>
      </c>
      <c r="M6" s="24">
        <f>BOU!H1</f>
        <v>2</v>
      </c>
      <c r="N6" s="9">
        <f>BOU!I1</f>
        <v>1560</v>
      </c>
    </row>
    <row r="7" spans="1:14" x14ac:dyDescent="0.35">
      <c r="A7" s="22">
        <v>46028</v>
      </c>
      <c r="B7" s="20">
        <f>ACU!D8+AIB!D8+ARC!D8+AXS!D8+BOU!D8+BPO!D8+CSS!D8+MAM!D8+MED!D8+MEM!D8+MKT!D8+MTS!D8+NAV!D8+'NUM{THR}'!D8+PAR!D8+RAN!D8+RCO!D8+SA!D8+TFG!D8+TLD!D8</f>
        <v>19</v>
      </c>
      <c r="C7" s="18">
        <f>ACU!E8+AIB!E8+ARC!E8+AXS!E8+BOU!E8+BPO!E8+CSS!E8+MAM!E8+MED!E8+MEM!E8+MKT!E8+MTS!E8+NAV!E8+'NUM{THR}'!E8+PAR!E8+RAN!E8+RCO!E8+SA!E8+TFG!E8+TLD!E8</f>
        <v>17218</v>
      </c>
      <c r="D7" s="24">
        <f>ACU!F8+AIB!F8+ARC!F8+AXS!F8+BOU!F8+BPO!F8+CSS!F8+MAM!F8+MED!F8+MEM!F8+MKT!F8+MTS!F8+NAV!F8+'NUM{THR}'!F8+PAR!F8+RAN!F8+RCO!F8+SA!F8+TFG!F8+TLD!F8</f>
        <v>0</v>
      </c>
      <c r="E7" s="18">
        <f>ACU!G8+AIB!G8+ARC!G8+AXS!G8+BOU!G8+BPO!G8+CSS!G8+MAM!G8+MED!G8+MEM!G8+MKT!G8+MTS!G8+NAV!G8+'NUM{THR}'!G8+PAR!G8+RAN!G8+RCO!G8+SA!G8+TFG!G8+TLD!G8</f>
        <v>0</v>
      </c>
      <c r="H7" s="22" t="s">
        <v>20</v>
      </c>
      <c r="I7" s="20">
        <f>BPO!D1</f>
        <v>6</v>
      </c>
      <c r="J7" s="9">
        <f>BPO!E1</f>
        <v>6302</v>
      </c>
      <c r="K7" s="24">
        <f>BPO!F1</f>
        <v>0</v>
      </c>
      <c r="L7" s="9">
        <f>BPO!G1</f>
        <v>0</v>
      </c>
      <c r="M7" s="24">
        <f>BPO!H1</f>
        <v>6</v>
      </c>
      <c r="N7" s="9">
        <f>BPO!I1</f>
        <v>6302</v>
      </c>
    </row>
    <row r="8" spans="1:14" x14ac:dyDescent="0.35">
      <c r="A8" s="22">
        <v>46029</v>
      </c>
      <c r="B8" s="20">
        <f>ACU!D9+AIB!D9+ARC!D9+AXS!D9+BOU!D9+BPO!D9+CSS!D9+MAM!D9+MED!D9+MEM!D9+MKT!D9+MTS!D9+NAV!D9+'NUM{THR}'!D9+PAR!D9+RAN!D9+RCO!D9+SA!D9+TFG!D9+TLD!D9</f>
        <v>97</v>
      </c>
      <c r="C8" s="18">
        <f>ACU!E9+AIB!E9+ARC!E9+AXS!E9+BOU!E9+BPO!E9+CSS!E9+MAM!E9+MED!E9+MEM!E9+MKT!E9+MTS!E9+NAV!E9+'NUM{THR}'!E9+PAR!E9+RAN!E9+RCO!E9+SA!E9+TFG!E9+TLD!E9</f>
        <v>100905</v>
      </c>
      <c r="D8" s="24">
        <f>ACU!F9+AIB!F9+ARC!F9+AXS!F9+BOU!F9+BPO!F9+CSS!F9+MAM!F9+MED!F9+MEM!F9+MKT!F9+MTS!F9+NAV!F9+'NUM{THR}'!F9+PAR!F9+RAN!F9+RCO!F9+SA!F9+TFG!F9+TLD!F9</f>
        <v>0</v>
      </c>
      <c r="E8" s="18">
        <f>ACU!G9+AIB!G9+ARC!G9+AXS!G9+BOU!G9+BPO!G9+CSS!G9+MAM!G9+MED!G9+MEM!G9+MKT!G9+MTS!G9+NAV!G9+'NUM{THR}'!G9+PAR!G9+RAN!G9+RCO!G9+SA!G9+TFG!G9+TLD!G9</f>
        <v>0</v>
      </c>
      <c r="H8" s="22" t="s">
        <v>21</v>
      </c>
      <c r="I8" s="20">
        <f>CSS!D1</f>
        <v>2</v>
      </c>
      <c r="J8" s="9">
        <f>CSS!E1</f>
        <v>1055</v>
      </c>
      <c r="K8" s="24">
        <f>CSS!F1</f>
        <v>0</v>
      </c>
      <c r="L8" s="9">
        <f>CSS!G1</f>
        <v>0</v>
      </c>
      <c r="M8" s="24">
        <f>CSS!H1</f>
        <v>2</v>
      </c>
      <c r="N8" s="9">
        <f>CSS!I1</f>
        <v>1055</v>
      </c>
    </row>
    <row r="9" spans="1:14" x14ac:dyDescent="0.35">
      <c r="A9" s="22">
        <v>46030</v>
      </c>
      <c r="B9" s="20">
        <f>ACU!D10+AIB!D10+ARC!D10+AXS!D10+BOU!D10+BPO!D10+CSS!D10+MAM!D10+MED!D10+MEM!D10+MKT!D10+MTS!D10+NAV!D10+'NUM{THR}'!D10+PAR!D10+RAN!D10+RCO!D10+SA!D10+TFG!D10+TLD!D10</f>
        <v>5</v>
      </c>
      <c r="C9" s="18">
        <f>ACU!E10+AIB!E10+ARC!E10+AXS!E10+BOU!E10+BPO!E10+CSS!E10+MAM!E10+MED!E10+MEM!E10+MKT!E10+MTS!E10+NAV!E10+'NUM{THR}'!E10+PAR!E10+RAN!E10+RCO!E10+SA!E10+TFG!E10+TLD!E10</f>
        <v>4411</v>
      </c>
      <c r="D9" s="24">
        <f>ACU!F10+AIB!F10+ARC!F10+AXS!F10+BOU!F10+BPO!F10+CSS!F10+MAM!F10+MED!F10+MEM!F10+MKT!F10+MTS!F10+NAV!F10+'NUM{THR}'!F10+PAR!F10+RAN!F10+RCO!F10+SA!F10+TFG!F10+TLD!F10</f>
        <v>0</v>
      </c>
      <c r="E9" s="18">
        <f>ACU!G10+AIB!G10+ARC!G10+AXS!G10+BOU!G10+BPO!G10+CSS!G10+MAM!G10+MED!G10+MEM!G10+MKT!G10+MTS!G10+NAV!G10+'NUM{THR}'!G10+PAR!G10+RAN!G10+RCO!G10+SA!G10+TFG!G10+TLD!G10</f>
        <v>0</v>
      </c>
      <c r="H9" s="22" t="s">
        <v>22</v>
      </c>
      <c r="I9" s="20">
        <f>MAM!D1</f>
        <v>163</v>
      </c>
      <c r="J9" s="9">
        <f>MAM!E1</f>
        <v>161530.25</v>
      </c>
      <c r="K9" s="24">
        <f>MAM!F1</f>
        <v>0</v>
      </c>
      <c r="L9" s="9">
        <f>MAM!G1</f>
        <v>0</v>
      </c>
      <c r="M9" s="24">
        <f>MAM!H1</f>
        <v>163</v>
      </c>
      <c r="N9" s="9">
        <f>MAM!I1</f>
        <v>161530.25</v>
      </c>
    </row>
    <row r="10" spans="1:14" x14ac:dyDescent="0.35">
      <c r="A10" s="22">
        <v>46031</v>
      </c>
      <c r="B10" s="20">
        <f>ACU!D11+AIB!D11+ARC!D11+AXS!D11+BOU!D11+BPO!D11+CSS!D11+MAM!D11+MED!D11+MEM!D11+MKT!D11+MTS!D11+NAV!D11+'NUM{THR}'!D11+PAR!D11+RAN!D11+RCO!D11+SA!D11+TFG!D11+TLD!D11</f>
        <v>1</v>
      </c>
      <c r="C10" s="18">
        <f>ACU!E11+AIB!E11+ARC!E11+AXS!E11+BOU!E11+BPO!E11+CSS!E11+MAM!E11+MED!E11+MEM!E11+MKT!E11+MTS!E11+NAV!E11+'NUM{THR}'!E11+PAR!E11+RAN!E11+RCO!E11+SA!E11+TFG!E11+TLD!E11</f>
        <v>985</v>
      </c>
      <c r="D10" s="24">
        <f>ACU!F11+AIB!F11+ARC!F11+AXS!F11+BOU!F11+BPO!F11+CSS!F11+MAM!F11+MED!F11+MEM!F11+MKT!F11+MTS!F11+NAV!F11+'NUM{THR}'!F11+PAR!F11+RAN!F11+RCO!F11+SA!F11+TFG!F11+TLD!F11</f>
        <v>0</v>
      </c>
      <c r="E10" s="18">
        <f>ACU!G11+AIB!G11+ARC!G11+AXS!G11+BOU!G11+BPO!G11+CSS!G11+MAM!G11+MED!G11+MEM!G11+MKT!G11+MTS!G11+NAV!G11+'NUM{THR}'!G11+PAR!G11+RAN!G11+RCO!G11+SA!G11+TFG!G11+TLD!G11</f>
        <v>0</v>
      </c>
      <c r="H10" s="22" t="s">
        <v>23</v>
      </c>
      <c r="I10" s="20">
        <f>MED!D1</f>
        <v>54</v>
      </c>
      <c r="J10" s="9">
        <f>MED!E1</f>
        <v>48188.75</v>
      </c>
      <c r="K10" s="24">
        <f>MED!F1</f>
        <v>0</v>
      </c>
      <c r="L10" s="9">
        <f>MED!G1</f>
        <v>0</v>
      </c>
      <c r="M10" s="24">
        <f>MED!H1</f>
        <v>54</v>
      </c>
      <c r="N10" s="9">
        <f>MED!I1</f>
        <v>48188.75</v>
      </c>
    </row>
    <row r="11" spans="1:14" x14ac:dyDescent="0.35">
      <c r="A11" s="22">
        <v>46032</v>
      </c>
      <c r="B11" s="20">
        <f>ACU!D12+AIB!D12+ARC!D12+AXS!D12+BOU!D12+BPO!D12+CSS!D12+MAM!D12+MED!D12+MEM!D12+MKT!D12+MTS!D12+NAV!D12+'NUM{THR}'!D12+PAR!D12+RAN!D12+RCO!D12+SA!D12+TFG!D12+TLD!D12</f>
        <v>14</v>
      </c>
      <c r="C11" s="18">
        <f>ACU!E12+AIB!E12+ARC!E12+AXS!E12+BOU!E12+BPO!E12+CSS!E12+MAM!E12+MED!E12+MEM!E12+MKT!E12+MTS!E12+NAV!E12+'NUM{THR}'!E12+PAR!E12+RAN!E12+RCO!E12+SA!E12+TFG!E12+TLD!E12</f>
        <v>16743.5</v>
      </c>
      <c r="D11" s="24">
        <f>ACU!F12+AIB!F12+ARC!F12+AXS!F12+BOU!F12+BPO!F12+CSS!F12+MAM!F12+MED!F12+MEM!F12+MKT!F12+MTS!F12+NAV!F12+'NUM{THR}'!F12+PAR!F12+RAN!F12+RCO!F12+SA!F12+TFG!F12+TLD!F12</f>
        <v>0</v>
      </c>
      <c r="E11" s="18">
        <f>ACU!G12+AIB!G12+ARC!G12+AXS!G12+BOU!G12+BPO!G12+CSS!G12+MAM!G12+MED!G12+MEM!G12+MKT!G12+MTS!G12+NAV!G12+'NUM{THR}'!G12+PAR!G12+RAN!G12+RCO!G12+SA!G12+TFG!G12+TLD!G12</f>
        <v>0</v>
      </c>
      <c r="H11" s="22" t="s">
        <v>24</v>
      </c>
      <c r="I11" s="20">
        <f>MEM!D1</f>
        <v>56</v>
      </c>
      <c r="J11" s="9">
        <f>MEM!E1</f>
        <v>52231</v>
      </c>
      <c r="K11" s="24">
        <f>MEM!F1</f>
        <v>0</v>
      </c>
      <c r="L11" s="9">
        <f>MEM!G1</f>
        <v>0</v>
      </c>
      <c r="M11" s="24">
        <f>MEM!H1</f>
        <v>56</v>
      </c>
      <c r="N11" s="9">
        <f>MEM!I1</f>
        <v>52231</v>
      </c>
    </row>
    <row r="12" spans="1:14" x14ac:dyDescent="0.35">
      <c r="A12" s="22">
        <v>46033</v>
      </c>
      <c r="B12" s="20">
        <f>ACU!D13+AIB!D13+ARC!D13+AXS!D13+BOU!D13+BPO!D13+CSS!D13+MAM!D13+MED!D13+MEM!D13+MKT!D13+MTS!D13+NAV!D13+'NUM{THR}'!D13+PAR!D13+RAN!D13+RCO!D13+SA!D13+TFG!D13+TLD!D13</f>
        <v>0</v>
      </c>
      <c r="C12" s="18">
        <f>ACU!E13+AIB!E13+ARC!E13+AXS!E13+BOU!E13+BPO!E13+CSS!E13+MAM!E13+MED!E13+MEM!E13+MKT!E13+MTS!E13+NAV!E13+'NUM{THR}'!E13+PAR!E13+RAN!E13+RCO!E13+SA!E13+TFG!E13+TLD!E13</f>
        <v>0</v>
      </c>
      <c r="D12" s="24">
        <f>ACU!F13+AIB!F13+ARC!F13+AXS!F13+BOU!F13+BPO!F13+CSS!F13+MAM!F13+MED!F13+MEM!F13+MKT!F13+MTS!F13+NAV!F13+'NUM{THR}'!F13+PAR!F13+RAN!F13+RCO!F13+SA!F13+TFG!F13+TLD!F13</f>
        <v>0</v>
      </c>
      <c r="E12" s="18">
        <f>ACU!G13+AIB!G13+ARC!G13+AXS!G13+BOU!G13+BPO!G13+CSS!G13+MAM!G13+MED!G13+MEM!G13+MKT!G13+MTS!G13+NAV!G13+'NUM{THR}'!G13+PAR!G13+RAN!G13+RCO!G13+SA!G13+TFG!G13+TLD!G13</f>
        <v>0</v>
      </c>
      <c r="H12" s="22" t="s">
        <v>25</v>
      </c>
      <c r="I12" s="20">
        <f>MKT!D1</f>
        <v>17</v>
      </c>
      <c r="J12" s="9">
        <f>MKT!E1</f>
        <v>16844.75</v>
      </c>
      <c r="K12" s="24">
        <f>MKT!F1</f>
        <v>0</v>
      </c>
      <c r="L12" s="9">
        <f>MKT!G1</f>
        <v>0</v>
      </c>
      <c r="M12" s="24">
        <f>MKT!H1</f>
        <v>17</v>
      </c>
      <c r="N12" s="9">
        <f>MKT!I1</f>
        <v>16844.75</v>
      </c>
    </row>
    <row r="13" spans="1:14" x14ac:dyDescent="0.35">
      <c r="A13" s="22">
        <v>46034</v>
      </c>
      <c r="B13" s="20">
        <f>ACU!D14+AIB!D14+ARC!D14+AXS!D14+BOU!D14+BPO!D14+CSS!D14+MAM!D14+MED!D14+MEM!D14+MKT!D14+MTS!D14+NAV!D14+'NUM{THR}'!D14+PAR!D14+RAN!D14+RCO!D14+SA!D14+TFG!D14+TLD!D14</f>
        <v>7</v>
      </c>
      <c r="C13" s="18">
        <f>ACU!E14+AIB!E14+ARC!E14+AXS!E14+BOU!E14+BPO!E14+CSS!E14+MAM!E14+MED!E14+MEM!E14+MKT!E14+MTS!E14+NAV!E14+'NUM{THR}'!E14+PAR!E14+RAN!E14+RCO!E14+SA!E14+TFG!E14+TLD!E14</f>
        <v>6697</v>
      </c>
      <c r="D13" s="24">
        <f>ACU!F14+AIB!F14+ARC!F14+AXS!F14+BOU!F14+BPO!F14+CSS!F14+MAM!F14+MED!F14+MEM!F14+MKT!F14+MTS!F14+NAV!F14+'NUM{THR}'!F14+PAR!F14+RAN!F14+RCO!F14+SA!F14+TFG!F14+TLD!F14</f>
        <v>0</v>
      </c>
      <c r="E13" s="18">
        <f>ACU!G14+AIB!G14+ARC!G14+AXS!G14+BOU!G14+BPO!G14+CSS!G14+MAM!G14+MED!G14+MEM!G14+MKT!G14+MTS!G14+NAV!G14+'NUM{THR}'!G14+PAR!G14+RAN!G14+RCO!G14+SA!G14+TFG!G14+TLD!G14</f>
        <v>0</v>
      </c>
      <c r="H13" s="22" t="s">
        <v>26</v>
      </c>
      <c r="I13" s="20">
        <f>MTS!D1</f>
        <v>6</v>
      </c>
      <c r="J13" s="9">
        <f>MTS!E1</f>
        <v>3729</v>
      </c>
      <c r="K13" s="24">
        <f>MTS!F1</f>
        <v>0</v>
      </c>
      <c r="L13" s="9">
        <f>MTS!G1</f>
        <v>0</v>
      </c>
      <c r="M13" s="24">
        <f>MTS!H1</f>
        <v>6</v>
      </c>
      <c r="N13" s="9">
        <f>MTS!I1</f>
        <v>3729</v>
      </c>
    </row>
    <row r="14" spans="1:14" x14ac:dyDescent="0.35">
      <c r="A14" s="22">
        <v>46035</v>
      </c>
      <c r="B14" s="20">
        <f>ACU!D15+AIB!D15+ARC!D15+AXS!D15+BOU!D15+BPO!D15+CSS!D15+MAM!D15+MED!D15+MEM!D15+MKT!D15+MTS!D15+NAV!D15+'NUM{THR}'!D15+PAR!D15+RAN!D15+RCO!D15+SA!D15+TFG!D15+TLD!D15</f>
        <v>0</v>
      </c>
      <c r="C14" s="18">
        <f>ACU!E15+AIB!E15+ARC!E15+AXS!E15+BOU!E15+BPO!E15+CSS!E15+MAM!E15+MED!E15+MEM!E15+MKT!E15+MTS!E15+NAV!E15+'NUM{THR}'!E15+PAR!E15+RAN!E15+RCO!E15+SA!E15+TFG!E15+TLD!E15</f>
        <v>0</v>
      </c>
      <c r="D14" s="24">
        <f>ACU!F15+AIB!F15+ARC!F15+AXS!F15+BOU!F15+BPO!F15+CSS!F15+MAM!F15+MED!F15+MEM!F15+MKT!F15+MTS!F15+NAV!F15+'NUM{THR}'!F15+PAR!F15+RAN!F15+RCO!F15+SA!F15+TFG!F15+TLD!F15</f>
        <v>0</v>
      </c>
      <c r="E14" s="18">
        <f>ACU!G15+AIB!G15+ARC!G15+AXS!G15+BOU!G15+BPO!G15+CSS!G15+MAM!G15+MED!G15+MEM!G15+MKT!G15+MTS!G15+NAV!G15+'NUM{THR}'!G15+PAR!G15+RAN!G15+RCO!G15+SA!G15+TFG!G15+TLD!G15</f>
        <v>0</v>
      </c>
      <c r="H14" s="22" t="s">
        <v>27</v>
      </c>
      <c r="I14" s="20">
        <f>NAV!D1</f>
        <v>36</v>
      </c>
      <c r="J14" s="9">
        <f>NAV!E1</f>
        <v>14944</v>
      </c>
      <c r="K14" s="24">
        <f>NAV!F1</f>
        <v>0</v>
      </c>
      <c r="L14" s="9">
        <f>NAV!G1</f>
        <v>0</v>
      </c>
      <c r="M14" s="24">
        <f>NAV!H1</f>
        <v>36</v>
      </c>
      <c r="N14" s="9">
        <f>NAV!I1</f>
        <v>14944</v>
      </c>
    </row>
    <row r="15" spans="1:14" x14ac:dyDescent="0.35">
      <c r="A15" s="22">
        <v>46036</v>
      </c>
      <c r="B15" s="20">
        <f>ACU!D16+AIB!D16+ARC!D16+AXS!D16+BOU!D16+BPO!D16+CSS!D16+MAM!D16+MED!D16+MEM!D16+MKT!D16+MTS!D16+NAV!D16+'NUM{THR}'!D16+PAR!D16+RAN!D16+RCO!D16+SA!D16+TFG!D16+TLD!D16</f>
        <v>39</v>
      </c>
      <c r="C15" s="18">
        <f>ACU!E16+AIB!E16+ARC!E16+AXS!E16+BOU!E16+BPO!E16+CSS!E16+MAM!E16+MED!E16+MEM!E16+MKT!E16+MTS!E16+NAV!E16+'NUM{THR}'!E16+PAR!E16+RAN!E16+RCO!E16+SA!E16+TFG!E16+TLD!E16</f>
        <v>39229</v>
      </c>
      <c r="D15" s="24">
        <f>ACU!F16+AIB!F16+ARC!F16+AXS!F16+BOU!F16+BPO!F16+CSS!F16+MAM!F16+MED!F16+MEM!F16+MKT!F16+MTS!F16+NAV!F16+'NUM{THR}'!F16+PAR!F16+RAN!F16+RCO!F16+SA!F16+TFG!F16+TLD!F16</f>
        <v>0</v>
      </c>
      <c r="E15" s="18">
        <f>ACU!G16+AIB!G16+ARC!G16+AXS!G16+BOU!G16+BPO!G16+CSS!G16+MAM!G16+MED!G16+MEM!G16+MKT!G16+MTS!G16+NAV!G16+'NUM{THR}'!G16+PAR!G16+RAN!G16+RCO!G16+SA!G16+TFG!G16+TLD!G16</f>
        <v>0</v>
      </c>
      <c r="H15" s="22" t="s">
        <v>28</v>
      </c>
      <c r="I15" s="20">
        <f>'NUM{THR}'!D1</f>
        <v>1</v>
      </c>
      <c r="J15" s="9">
        <f>'NUM{THR}'!E1</f>
        <v>665</v>
      </c>
      <c r="K15" s="24">
        <f>'NUM{THR}'!F1</f>
        <v>0</v>
      </c>
      <c r="L15" s="9">
        <f>'NUM{THR}'!G1</f>
        <v>0</v>
      </c>
      <c r="M15" s="24">
        <f>'NUM{THR}'!H1</f>
        <v>1</v>
      </c>
      <c r="N15" s="9">
        <f>'NUM{THR}'!I1</f>
        <v>665</v>
      </c>
    </row>
    <row r="16" spans="1:14" x14ac:dyDescent="0.35">
      <c r="A16" s="22">
        <v>46037</v>
      </c>
      <c r="B16" s="20">
        <f>ACU!D17+AIB!D17+ARC!D17+AXS!D17+BOU!D17+BPO!D17+CSS!D17+MAM!D17+MED!D17+MEM!D17+MKT!D17+MTS!D17+NAV!D17+'NUM{THR}'!D17+PAR!D17+RAN!D17+RCO!D17+SA!D17+TFG!D17+TLD!D17</f>
        <v>70</v>
      </c>
      <c r="C16" s="18">
        <f>ACU!E17+AIB!E17+ARC!E17+AXS!E17+BOU!E17+BPO!E17+CSS!E17+MAM!E17+MED!E17+MEM!E17+MKT!E17+MTS!E17+NAV!E17+'NUM{THR}'!E17+PAR!E17+RAN!E17+RCO!E17+SA!E17+TFG!E17+TLD!E17</f>
        <v>67666</v>
      </c>
      <c r="D16" s="24">
        <f>ACU!F17+AIB!F17+ARC!F17+AXS!F17+BOU!F17+BPO!F17+CSS!F17+MAM!F17+MED!F17+MEM!F17+MKT!F17+MTS!F17+NAV!F17+'NUM{THR}'!F17+PAR!F17+RAN!F17+RCO!F17+SA!F17+TFG!F17+TLD!F17</f>
        <v>0</v>
      </c>
      <c r="E16" s="18">
        <f>ACU!G17+AIB!G17+ARC!G17+AXS!G17+BOU!G17+BPO!G17+CSS!G17+MAM!G17+MED!G17+MEM!G17+MKT!G17+MTS!G17+NAV!G17+'NUM{THR}'!G17+PAR!G17+RAN!G17+RCO!G17+SA!G17+TFG!G17+TLD!G17</f>
        <v>0</v>
      </c>
      <c r="H16" s="22" t="s">
        <v>29</v>
      </c>
      <c r="I16" s="20">
        <f>PAR!D1</f>
        <v>716</v>
      </c>
      <c r="J16" s="9">
        <f>PAR!E1</f>
        <v>738011.5</v>
      </c>
      <c r="K16" s="24">
        <f>PAR!F1</f>
        <v>0</v>
      </c>
      <c r="L16" s="9">
        <f>PAR!G1</f>
        <v>0</v>
      </c>
      <c r="M16" s="24">
        <f>PAR!H1</f>
        <v>716</v>
      </c>
      <c r="N16" s="9">
        <f>PAR!I1</f>
        <v>738011.5</v>
      </c>
    </row>
    <row r="17" spans="1:14" x14ac:dyDescent="0.35">
      <c r="A17" s="22">
        <v>46038</v>
      </c>
      <c r="B17" s="20">
        <f>ACU!D18+AIB!D18+ARC!D18+AXS!D18+BOU!D18+BPO!D18+CSS!D18+MAM!D18+MED!D18+MEM!D18+MKT!D18+MTS!D18+NAV!D18+'NUM{THR}'!D18+PAR!D18+RAN!D18+RCO!D18+SA!D18+TFG!D18+TLD!D18</f>
        <v>8</v>
      </c>
      <c r="C17" s="18">
        <f>ACU!E18+AIB!E18+ARC!E18+AXS!E18+BOU!E18+BPO!E18+CSS!E18+MAM!E18+MED!E18+MEM!E18+MKT!E18+MTS!E18+NAV!E18+'NUM{THR}'!E18+PAR!E18+RAN!E18+RCO!E18+SA!E18+TFG!E18+TLD!E18</f>
        <v>9430</v>
      </c>
      <c r="D17" s="24">
        <f>ACU!F18+AIB!F18+ARC!F18+AXS!F18+BOU!F18+BPO!F18+CSS!F18+MAM!F18+MED!F18+MEM!F18+MKT!F18+MTS!F18+NAV!F18+'NUM{THR}'!F18+PAR!F18+RAN!F18+RCO!F18+SA!F18+TFG!F18+TLD!F18</f>
        <v>0</v>
      </c>
      <c r="E17" s="18">
        <f>ACU!G18+AIB!G18+ARC!G18+AXS!G18+BOU!G18+BPO!G18+CSS!G18+MAM!G18+MED!G18+MEM!G18+MKT!G18+MTS!G18+NAV!G18+'NUM{THR}'!G18+PAR!G18+RAN!G18+RCO!G18+SA!G18+TFG!G18+TLD!G18</f>
        <v>0</v>
      </c>
      <c r="H17" s="22" t="s">
        <v>30</v>
      </c>
      <c r="I17" s="20">
        <f>RAN!D1</f>
        <v>0</v>
      </c>
      <c r="J17" s="9">
        <f>RAN!E1</f>
        <v>0</v>
      </c>
      <c r="K17" s="24">
        <f>RAN!F1</f>
        <v>0</v>
      </c>
      <c r="L17" s="9">
        <f>RAN!G1</f>
        <v>0</v>
      </c>
      <c r="M17" s="24">
        <f>RAN!H1</f>
        <v>0</v>
      </c>
      <c r="N17" s="9">
        <f>RAN!I1</f>
        <v>0</v>
      </c>
    </row>
    <row r="18" spans="1:14" x14ac:dyDescent="0.35">
      <c r="A18" s="22">
        <v>46039</v>
      </c>
      <c r="B18" s="20">
        <f>ACU!D19+AIB!D19+ARC!D19+AXS!D19+BOU!D19+BPO!D19+CSS!D19+MAM!D19+MED!D19+MEM!D19+MKT!D19+MTS!D19+NAV!D19+'NUM{THR}'!D19+PAR!D19+RAN!D19+RCO!D19+SA!D19+TFG!D19+TLD!D19</f>
        <v>9</v>
      </c>
      <c r="C18" s="18">
        <f>ACU!E19+AIB!E19+ARC!E19+AXS!E19+BOU!E19+BPO!E19+CSS!E19+MAM!E19+MED!E19+MEM!E19+MKT!E19+MTS!E19+NAV!E19+'NUM{THR}'!E19+PAR!E19+RAN!E19+RCO!E19+SA!E19+TFG!E19+TLD!E19</f>
        <v>13435</v>
      </c>
      <c r="D18" s="24">
        <f>ACU!F19+AIB!F19+ARC!F19+AXS!F19+BOU!F19+BPO!F19+CSS!F19+MAM!F19+MED!F19+MEM!F19+MKT!F19+MTS!F19+NAV!F19+'NUM{THR}'!F19+PAR!F19+RAN!F19+RCO!F19+SA!F19+TFG!F19+TLD!F19</f>
        <v>0</v>
      </c>
      <c r="E18" s="18">
        <f>ACU!G19+AIB!G19+ARC!G19+AXS!G19+BOU!G19+BPO!G19+CSS!G19+MAM!G19+MED!G19+MEM!G19+MKT!G19+MTS!G19+NAV!G19+'NUM{THR}'!G19+PAR!G19+RAN!G19+RCO!G19+SA!G19+TFG!G19+TLD!G19</f>
        <v>0</v>
      </c>
      <c r="H18" s="22" t="s">
        <v>31</v>
      </c>
      <c r="I18" s="20">
        <f>RCO!D1</f>
        <v>1</v>
      </c>
      <c r="J18" s="9">
        <f>RCO!E1</f>
        <v>665</v>
      </c>
      <c r="K18" s="24">
        <f>RCO!F1</f>
        <v>0</v>
      </c>
      <c r="L18" s="9">
        <f>RCO!G1</f>
        <v>0</v>
      </c>
      <c r="M18" s="24">
        <f>RCO!H1</f>
        <v>1</v>
      </c>
      <c r="N18" s="9">
        <f>RCO!I1</f>
        <v>665</v>
      </c>
    </row>
    <row r="19" spans="1:14" x14ac:dyDescent="0.35">
      <c r="A19" s="22">
        <v>46040</v>
      </c>
      <c r="B19" s="20">
        <f>ACU!D20+AIB!D20+ARC!D20+AXS!D20+BOU!D20+BPO!D20+CSS!D20+MAM!D20+MED!D20+MEM!D20+MKT!D20+MTS!D20+NAV!D20+'NUM{THR}'!D20+PAR!D20+RAN!D20+RCO!D20+SA!D20+TFG!D20+TLD!D20</f>
        <v>0</v>
      </c>
      <c r="C19" s="18">
        <f>ACU!E20+AIB!E20+ARC!E20+AXS!E20+BOU!E20+BPO!E20+CSS!E20+MAM!E20+MED!E20+MEM!E20+MKT!E20+MTS!E20+NAV!E20+'NUM{THR}'!E20+PAR!E20+RAN!E20+RCO!E20+SA!E20+TFG!E20+TLD!E20</f>
        <v>0</v>
      </c>
      <c r="D19" s="24">
        <f>ACU!F20+AIB!F20+ARC!F20+AXS!F20+BOU!F20+BPO!F20+CSS!F20+MAM!F20+MED!F20+MEM!F20+MKT!F20+MTS!F20+NAV!F20+'NUM{THR}'!F20+PAR!F20+RAN!F20+RCO!F20+SA!F20+TFG!F20+TLD!F20</f>
        <v>0</v>
      </c>
      <c r="E19" s="18">
        <f>ACU!G20+AIB!G20+ARC!G20+AXS!G20+BOU!G20+BPO!G20+CSS!G20+MAM!G20+MED!G20+MEM!G20+MKT!G20+MTS!G20+NAV!G20+'NUM{THR}'!G20+PAR!G20+RAN!G20+RCO!G20+SA!G20+TFG!G20+TLD!G20</f>
        <v>0</v>
      </c>
      <c r="H19" s="22" t="s">
        <v>32</v>
      </c>
      <c r="I19" s="20">
        <f>SA!D1</f>
        <v>892</v>
      </c>
      <c r="J19" s="9">
        <f>SA!E1</f>
        <v>959816.5</v>
      </c>
      <c r="K19" s="24">
        <f>SA!F1</f>
        <v>0</v>
      </c>
      <c r="L19" s="9">
        <f>SA!G1</f>
        <v>0</v>
      </c>
      <c r="M19" s="24">
        <f>SA!H1</f>
        <v>892</v>
      </c>
      <c r="N19" s="9">
        <f>SA!I1</f>
        <v>959816.5</v>
      </c>
    </row>
    <row r="20" spans="1:14" x14ac:dyDescent="0.35">
      <c r="A20" s="22">
        <v>46041</v>
      </c>
      <c r="B20" s="20">
        <f>ACU!D21+AIB!D21+ARC!D21+AXS!D21+BOU!D21+BPO!D21+CSS!D21+MAM!D21+MED!D21+MEM!D21+MKT!D21+MTS!D21+NAV!D21+'NUM{THR}'!D21+PAR!D21+RAN!D21+RCO!D21+SA!D21+TFG!D21+TLD!D21</f>
        <v>1</v>
      </c>
      <c r="C20" s="18">
        <f>ACU!E21+AIB!E21+ARC!E21+AXS!E21+BOU!E21+BPO!E21+CSS!E21+MAM!E21+MED!E21+MEM!E21+MKT!E21+MTS!E21+NAV!E21+'NUM{THR}'!E21+PAR!E21+RAN!E21+RCO!E21+SA!E21+TFG!E21+TLD!E21</f>
        <v>1131</v>
      </c>
      <c r="D20" s="24">
        <f>ACU!F21+AIB!F21+ARC!F21+AXS!F21+BOU!F21+BPO!F21+CSS!F21+MAM!F21+MED!F21+MEM!F21+MKT!F21+MTS!F21+NAV!F21+'NUM{THR}'!F21+PAR!F21+RAN!F21+RCO!F21+SA!F21+TFG!F21+TLD!F21</f>
        <v>0</v>
      </c>
      <c r="E20" s="18">
        <f>ACU!G21+AIB!G21+ARC!G21+AXS!G21+BOU!G21+BPO!G21+CSS!G21+MAM!G21+MED!G21+MEM!G21+MKT!G21+MTS!G21+NAV!G21+'NUM{THR}'!G21+PAR!G21+RAN!G21+RCO!G21+SA!G21+TFG!G21+TLD!G21</f>
        <v>0</v>
      </c>
      <c r="H20" s="22" t="s">
        <v>33</v>
      </c>
      <c r="I20" s="20">
        <f>TFG!D1</f>
        <v>2</v>
      </c>
      <c r="J20" s="9">
        <f>TFG!E1</f>
        <v>999</v>
      </c>
      <c r="K20" s="24">
        <f>TFG!F1</f>
        <v>0</v>
      </c>
      <c r="L20" s="9">
        <f>TFG!G1</f>
        <v>0</v>
      </c>
      <c r="M20" s="24">
        <f>TFG!H1</f>
        <v>2</v>
      </c>
      <c r="N20" s="9">
        <f>TFG!I1</f>
        <v>999</v>
      </c>
    </row>
    <row r="21" spans="1:14" x14ac:dyDescent="0.35">
      <c r="A21" s="22">
        <v>46042</v>
      </c>
      <c r="B21" s="20">
        <f>ACU!D22+AIB!D22+ARC!D22+AXS!D22+BOU!D22+BPO!D22+CSS!D22+MAM!D22+MED!D22+MEM!D22+MKT!D22+MTS!D22+NAV!D22+'NUM{THR}'!D22+PAR!D22+RAN!D22+RCO!D22+SA!D22+TFG!D22+TLD!D22</f>
        <v>25</v>
      </c>
      <c r="C21" s="18">
        <f>ACU!E22+AIB!E22+ARC!E22+AXS!E22+BOU!E22+BPO!E22+CSS!E22+MAM!E22+MED!E22+MEM!E22+MKT!E22+MTS!E22+NAV!E22+'NUM{THR}'!E22+PAR!E22+RAN!E22+RCO!E22+SA!E22+TFG!E22+TLD!E22</f>
        <v>25571</v>
      </c>
      <c r="D21" s="24">
        <f>ACU!F22+AIB!F22+ARC!F22+AXS!F22+BOU!F22+BPO!F22+CSS!F22+MAM!F22+MED!F22+MEM!F22+MKT!F22+MTS!F22+NAV!F22+'NUM{THR}'!F22+PAR!F22+RAN!F22+RCO!F22+SA!F22+TFG!F22+TLD!F22</f>
        <v>0</v>
      </c>
      <c r="E21" s="18">
        <f>ACU!G22+AIB!G22+ARC!G22+AXS!G22+BOU!G22+BPO!G22+CSS!G22+MAM!G22+MED!G22+MEM!G22+MKT!G22+MTS!G22+NAV!G22+'NUM{THR}'!G22+PAR!G22+RAN!G22+RCO!G22+SA!G22+TFG!G22+TLD!G22</f>
        <v>0</v>
      </c>
      <c r="H21" s="22" t="s">
        <v>34</v>
      </c>
      <c r="I21" s="20">
        <f>TLD!D1</f>
        <v>2</v>
      </c>
      <c r="J21" s="9">
        <f>TLD!E1</f>
        <v>1280</v>
      </c>
      <c r="K21" s="24">
        <f>TLD!F1</f>
        <v>0</v>
      </c>
      <c r="L21" s="9">
        <f>TLD!G1</f>
        <v>0</v>
      </c>
      <c r="M21" s="24">
        <f>TLD!H1</f>
        <v>2</v>
      </c>
      <c r="N21" s="9">
        <f>TLD!I1</f>
        <v>1280</v>
      </c>
    </row>
    <row r="22" spans="1:14" x14ac:dyDescent="0.35">
      <c r="A22" s="22">
        <v>46043</v>
      </c>
      <c r="B22" s="20">
        <f>ACU!D23+AIB!D23+ARC!D23+AXS!D23+BOU!D23+BPO!D23+CSS!D23+MAM!D23+MED!D23+MEM!D23+MKT!D23+MTS!D23+NAV!D23+'NUM{THR}'!D23+PAR!D23+RAN!D23+RCO!D23+SA!D23+TFG!D23+TLD!D23</f>
        <v>10</v>
      </c>
      <c r="C22" s="18">
        <f>ACU!E23+AIB!E23+ARC!E23+AXS!E23+BOU!E23+BPO!E23+CSS!E23+MAM!E23+MED!E23+MEM!E23+MKT!E23+MTS!E23+NAV!E23+'NUM{THR}'!E23+PAR!E23+RAN!E23+RCO!E23+SA!E23+TFG!E23+TLD!E23</f>
        <v>9586</v>
      </c>
      <c r="D22" s="24">
        <f>ACU!F23+AIB!F23+ARC!F23+AXS!F23+BOU!F23+BPO!F23+CSS!F23+MAM!F23+MED!F23+MEM!F23+MKT!F23+MTS!F23+NAV!F23+'NUM{THR}'!F23+PAR!F23+RAN!F23+RCO!F23+SA!F23+TFG!F23+TLD!F23</f>
        <v>0</v>
      </c>
      <c r="E22" s="18">
        <f>ACU!G23+AIB!G23+ARC!G23+AXS!G23+BOU!G23+BPO!G23+CSS!G23+MAM!G23+MED!G23+MEM!G23+MKT!G23+MTS!G23+NAV!G23+'NUM{THR}'!G23+PAR!G23+RAN!G23+RCO!G23+SA!G23+TFG!G23+TLD!G23</f>
        <v>0</v>
      </c>
      <c r="H22" s="21" t="s">
        <v>14</v>
      </c>
      <c r="I22" s="19">
        <f t="shared" ref="I22:N22" si="0">SUBTOTAL(109,I2:I21)</f>
        <v>2000</v>
      </c>
      <c r="J22" s="8">
        <f t="shared" si="0"/>
        <v>2047657.75</v>
      </c>
      <c r="K22" s="23">
        <f t="shared" si="0"/>
        <v>0</v>
      </c>
      <c r="L22" s="8">
        <f t="shared" si="0"/>
        <v>0</v>
      </c>
      <c r="M22" s="23">
        <f t="shared" si="0"/>
        <v>2000</v>
      </c>
      <c r="N22" s="8">
        <f t="shared" si="0"/>
        <v>2047657.75</v>
      </c>
    </row>
    <row r="23" spans="1:14" x14ac:dyDescent="0.35">
      <c r="A23" s="22">
        <v>46044</v>
      </c>
      <c r="B23" s="20">
        <f>ACU!D24+AIB!D24+ARC!D24+AXS!D24+BOU!D24+BPO!D24+CSS!D24+MAM!D24+MED!D24+MEM!D24+MKT!D24+MTS!D24+NAV!D24+'NUM{THR}'!D24+PAR!D24+RAN!D24+RCO!D24+SA!D24+TFG!D24+TLD!D24</f>
        <v>3</v>
      </c>
      <c r="C23" s="18">
        <f>ACU!E24+AIB!E24+ARC!E24+AXS!E24+BOU!E24+BPO!E24+CSS!E24+MAM!E24+MED!E24+MEM!E24+MKT!E24+MTS!E24+NAV!E24+'NUM{THR}'!E24+PAR!E24+RAN!E24+RCO!E24+SA!E24+TFG!E24+TLD!E24</f>
        <v>2435</v>
      </c>
      <c r="D23" s="24">
        <f>ACU!F24+AIB!F24+ARC!F24+AXS!F24+BOU!F24+BPO!F24+CSS!F24+MAM!F24+MED!F24+MEM!F24+MKT!F24+MTS!F24+NAV!F24+'NUM{THR}'!F24+PAR!F24+RAN!F24+RCO!F24+SA!F24+TFG!F24+TLD!F24</f>
        <v>0</v>
      </c>
      <c r="E23" s="18">
        <f>ACU!G24+AIB!G24+ARC!G24+AXS!G24+BOU!G24+BPO!G24+CSS!G24+MAM!G24+MED!G24+MEM!G24+MKT!G24+MTS!G24+NAV!G24+'NUM{THR}'!G24+PAR!G24+RAN!G24+RCO!G24+SA!G24+TFG!G24+TLD!G24</f>
        <v>0</v>
      </c>
    </row>
    <row r="24" spans="1:14" x14ac:dyDescent="0.35">
      <c r="A24" s="22">
        <v>46045</v>
      </c>
      <c r="B24" s="20">
        <f>ACU!D25+AIB!D25+ARC!D25+AXS!D25+BOU!D25+BPO!D25+CSS!D25+MAM!D25+MED!D25+MEM!D25+MKT!D25+MTS!D25+NAV!D25+'NUM{THR}'!D25+PAR!D25+RAN!D25+RCO!D25+SA!D25+TFG!D25+TLD!D25</f>
        <v>0</v>
      </c>
      <c r="C24" s="18">
        <f>ACU!E25+AIB!E25+ARC!E25+AXS!E25+BOU!E25+BPO!E25+CSS!E25+MAM!E25+MED!E25+MEM!E25+MKT!E25+MTS!E25+NAV!E25+'NUM{THR}'!E25+PAR!E25+RAN!E25+RCO!E25+SA!E25+TFG!E25+TLD!E25</f>
        <v>0</v>
      </c>
      <c r="D24" s="24">
        <f>ACU!F25+AIB!F25+ARC!F25+AXS!F25+BOU!F25+BPO!F25+CSS!F25+MAM!F25+MED!F25+MEM!F25+MKT!F25+MTS!F25+NAV!F25+'NUM{THR}'!F25+PAR!F25+RAN!F25+RCO!F25+SA!F25+TFG!F25+TLD!F25</f>
        <v>0</v>
      </c>
      <c r="E24" s="18">
        <f>ACU!G25+AIB!G25+ARC!G25+AXS!G25+BOU!G25+BPO!G25+CSS!G25+MAM!G25+MED!G25+MEM!G25+MKT!G25+MTS!G25+NAV!G25+'NUM{THR}'!G25+PAR!G25+RAN!G25+RCO!G25+SA!G25+TFG!G25+TLD!G25</f>
        <v>0</v>
      </c>
    </row>
    <row r="25" spans="1:14" x14ac:dyDescent="0.35">
      <c r="A25" s="22">
        <v>46046</v>
      </c>
      <c r="B25" s="20">
        <f>ACU!D26+AIB!D26+ARC!D26+AXS!D26+BOU!D26+BPO!D26+CSS!D26+MAM!D26+MED!D26+MEM!D26+MKT!D26+MTS!D26+NAV!D26+'NUM{THR}'!D26+PAR!D26+RAN!D26+RCO!D26+SA!D26+TFG!D26+TLD!D26</f>
        <v>62</v>
      </c>
      <c r="C25" s="18">
        <f>ACU!E26+AIB!E26+ARC!E26+AXS!E26+BOU!E26+BPO!E26+CSS!E26+MAM!E26+MED!E26+MEM!E26+MKT!E26+MTS!E26+NAV!E26+'NUM{THR}'!E26+PAR!E26+RAN!E26+RCO!E26+SA!E26+TFG!E26+TLD!E26</f>
        <v>68796</v>
      </c>
      <c r="D25" s="24">
        <f>ACU!F26+AIB!F26+ARC!F26+AXS!F26+BOU!F26+BPO!F26+CSS!F26+MAM!F26+MED!F26+MEM!F26+MKT!F26+MTS!F26+NAV!F26+'NUM{THR}'!F26+PAR!F26+RAN!F26+RCO!F26+SA!F26+TFG!F26+TLD!F26</f>
        <v>0</v>
      </c>
      <c r="E25" s="18">
        <f>ACU!G26+AIB!G26+ARC!G26+AXS!G26+BOU!G26+BPO!G26+CSS!G26+MAM!G26+MED!G26+MEM!G26+MKT!G26+MTS!G26+NAV!G26+'NUM{THR}'!G26+PAR!G26+RAN!G26+RCO!G26+SA!G26+TFG!G26+TLD!G26</f>
        <v>0</v>
      </c>
    </row>
    <row r="26" spans="1:14" x14ac:dyDescent="0.35">
      <c r="A26" s="22">
        <v>46047</v>
      </c>
      <c r="B26" s="20">
        <f>ACU!D27+AIB!D27+ARC!D27+AXS!D27+BOU!D27+BPO!D27+CSS!D27+MAM!D27+MED!D27+MEM!D27+MKT!D27+MTS!D27+NAV!D27+'NUM{THR}'!D27+PAR!D27+RAN!D27+RCO!D27+SA!D28+TFG!D27+TLD!D27</f>
        <v>143</v>
      </c>
      <c r="C26" s="18">
        <f>ACU!E27+AIB!E27+ARC!E27+AXS!E27+BOU!E27+BPO!E27+CSS!E27+MAM!E27+MED!E27+MEM!E27+MKT!E27+MTS!E27+NAV!E27+'NUM{THR}'!E27+PAR!E27+RAN!E27+RCO!E27+SA!E28+TFG!E27+TLD!E27</f>
        <v>159576</v>
      </c>
      <c r="D26" s="24">
        <f>ACU!F27+AIB!F27+ARC!F27+AXS!F27+BOU!F27+BPO!F27+CSS!F27+MAM!F27+MED!F27+MEM!F27+MKT!F27+MTS!F27+NAV!F27+'NUM{THR}'!F27+PAR!F27+RAN!F27+RCO!F27+SA!F28+TFG!F27+TLD!F27</f>
        <v>0</v>
      </c>
      <c r="E26" s="18">
        <f>ACU!G27+AIB!G27+ARC!G27+AXS!G27+BOU!G27+BPO!G27+CSS!G27+MAM!G27+MED!G27+MEM!G27+MKT!G27+MTS!G27+NAV!G27+'NUM{THR}'!G27+PAR!G27+RAN!G27+RCO!G27+SA!G28+TFG!G27+TLD!G27</f>
        <v>0</v>
      </c>
    </row>
    <row r="27" spans="1:14" x14ac:dyDescent="0.35">
      <c r="A27" s="22">
        <v>46048</v>
      </c>
      <c r="B27" s="20">
        <f>ACU!D28+AIB!D28+ARC!D28+AXS!D28+BOU!D28+BPO!D28+CSS!D28+MAM!D28+MED!D28+MEM!D28+MKT!D28+MTS!D28+NAV!D28+'NUM{THR}'!D28+PAR!D28+RAN!D28+RCO!D28+SA!D29+TFG!D28+TLD!D28</f>
        <v>180</v>
      </c>
      <c r="C27" s="18">
        <f>ACU!E28+AIB!E28+ARC!E28+AXS!E28+BOU!E28+BPO!E28+CSS!E28+MAM!E28+MED!E28+MEM!E28+MKT!E28+MTS!E28+NAV!E28+'NUM{THR}'!E28+PAR!E28+RAN!E28+RCO!E28+SA!E29+TFG!E28+TLD!E28</f>
        <v>175030</v>
      </c>
      <c r="D27" s="24">
        <f>ACU!F28+AIB!F28+ARC!F28+AXS!F28+BOU!F28+BPO!F28+CSS!F28+MAM!F28+MED!F28+MEM!F28+MKT!F28+MTS!F28+NAV!F28+'NUM{THR}'!F28+PAR!F28+RAN!F28+RCO!F28+SA!F29+TFG!F28+TLD!F28</f>
        <v>0</v>
      </c>
      <c r="E27" s="18">
        <f>ACU!G28+AIB!G28+ARC!G28+AXS!G28+BOU!G28+BPO!G28+CSS!G28+MAM!G28+MED!G28+MEM!G28+MKT!G28+MTS!G28+NAV!G28+'NUM{THR}'!G28+PAR!G28+RAN!G28+RCO!G28+SA!G29+TFG!G28+TLD!G28</f>
        <v>0</v>
      </c>
    </row>
    <row r="28" spans="1:14" x14ac:dyDescent="0.35">
      <c r="A28" s="22">
        <v>46049</v>
      </c>
      <c r="B28" s="20">
        <f>ACU!D29+AIB!D29+ARC!D29+AXS!D29+BOU!D29+BPO!D29+CSS!D29+MAM!D29+MED!D29+MEM!D29+MKT!D29+MTS!D29+NAV!D29+'NUM{THR}'!D29+PAR!D29+RAN!D29+RCO!D29+SA!D30+TFG!D29+TLD!D29</f>
        <v>105</v>
      </c>
      <c r="C28" s="18">
        <f>ACU!E29+AIB!E29+ARC!E29+AXS!E29+BOU!E29+BPO!E29+CSS!E29+MAM!E29+MED!E29+MEM!E29+MKT!E29+MTS!E29+NAV!E29+'NUM{THR}'!E29+PAR!E29+RAN!E29+RCO!E29+SA!E30+TFG!E29+TLD!E29</f>
        <v>95693</v>
      </c>
      <c r="D28" s="24">
        <f>ACU!F29+AIB!F29+ARC!F29+AXS!F29+BOU!F29+BPO!F29+CSS!F29+MAM!F29+MED!F29+MEM!F29+MKT!F29+MTS!F29+NAV!F29+'NUM{THR}'!F29+PAR!F29+RAN!F29+RCO!F29+SA!F30+TFG!F29+TLD!F29</f>
        <v>0</v>
      </c>
      <c r="E28" s="18">
        <f>ACU!G29+AIB!G29+ARC!G29+AXS!G29+BOU!G29+BPO!G29+CSS!G29+MAM!G29+MED!G29+MEM!G29+MKT!G29+MTS!G29+NAV!G29+'NUM{THR}'!G29+PAR!G29+RAN!G29+RCO!G29+SA!G30+TFG!G29+TLD!G29</f>
        <v>0</v>
      </c>
    </row>
    <row r="29" spans="1:14" x14ac:dyDescent="0.35">
      <c r="A29" s="22">
        <v>46050</v>
      </c>
      <c r="B29" s="20">
        <f>ACU!D30+AIB!D30+ARC!D30+AXS!D30+BOU!D30+BPO!D30+CSS!D30+MAM!D30+MED!D30+MEM!D30+MKT!D30+MTS!D30+NAV!D30+'NUM{THR}'!D30+PAR!D30+RAN!D30+RCO!D30+SA!D31+TFG!D30+TLD!D30</f>
        <v>52</v>
      </c>
      <c r="C29" s="18">
        <f>ACU!E30+AIB!E30+ARC!E30+AXS!E30+BOU!E30+BPO!E30+CSS!E30+MAM!E30+MED!E30+MEM!E30+MKT!E30+MTS!E30+NAV!E30+'NUM{THR}'!E30+PAR!E30+RAN!E30+RCO!E30+SA!E31+TFG!E30+TLD!E30</f>
        <v>44352.75</v>
      </c>
      <c r="D29" s="24">
        <f>ACU!F30+AIB!F30+ARC!F30+AXS!F30+BOU!F30+BPO!F30+CSS!F30+MAM!F30+MED!F30+MEM!F30+MKT!F30+MTS!F30+NAV!F30+'NUM{THR}'!F30+PAR!F30+RAN!F30+RCO!F30+SA!F31+TFG!F30+TLD!F30</f>
        <v>0</v>
      </c>
      <c r="E29" s="18">
        <f>ACU!G30+AIB!G30+ARC!G30+AXS!G30+BOU!G30+BPO!G30+CSS!G30+MAM!G30+MED!G30+MEM!G30+MKT!G30+MTS!G30+NAV!G30+'NUM{THR}'!G30+PAR!G30+RAN!G30+RCO!G30+SA!G31+TFG!G30+TLD!G30</f>
        <v>0</v>
      </c>
    </row>
    <row r="30" spans="1:14" x14ac:dyDescent="0.35">
      <c r="A30" s="22">
        <v>46051</v>
      </c>
      <c r="B30" s="20">
        <f>ACU!D31+AIB!D31+ARC!D31+AXS!D31+BOU!D31+BPO!D31+CSS!D31+MAM!D31+MED!D31+MEM!D31+MKT!D31+MTS!D31+NAV!D31+'NUM{THR}'!D31+PAR!D31+RAN!D31+RCO!D31+SA!D32+TFG!D31+TLD!D31</f>
        <v>66</v>
      </c>
      <c r="C30" s="18">
        <f>ACU!E31+AIB!E31+ARC!E31+AXS!E31+BOU!E31+BPO!E31+CSS!E31+MAM!E31+MED!E31+MEM!E31+MKT!E31+MTS!E31+NAV!E31+'NUM{THR}'!E31+PAR!E31+RAN!E31+RCO!E31+SA!E32+TFG!E31+TLD!E31</f>
        <v>64992.75</v>
      </c>
      <c r="D30" s="24">
        <f>ACU!F31+AIB!F31+ARC!F31+AXS!F31+BOU!F31+BPO!F31+CSS!F31+MAM!F31+MED!F31+MEM!F31+MKT!F31+MTS!F31+NAV!F31+'NUM{THR}'!F31+PAR!F31+RAN!F31+RCO!F31+SA!F32+TFG!F31+TLD!F31</f>
        <v>0</v>
      </c>
      <c r="E30" s="18">
        <f>ACU!G31+AIB!G31+ARC!G31+AXS!G31+BOU!G31+BPO!G31+CSS!G31+MAM!G31+MED!G31+MEM!G31+MKT!G31+MTS!G31+NAV!G31+'NUM{THR}'!G31+PAR!G31+RAN!G31+RCO!G31+SA!G32+TFG!G31+TLD!G31</f>
        <v>0</v>
      </c>
    </row>
    <row r="31" spans="1:14" x14ac:dyDescent="0.35">
      <c r="A31" s="22">
        <v>46052</v>
      </c>
      <c r="B31" s="20">
        <f>ACU!D32+AIB!D32+ARC!D32+AXS!D32+BOU!D32+BPO!D32+CSS!D32+MAM!D32+MED!D32+MEM!D32+MKT!D32+MTS!D32+NAV!D32+'NUM{THR}'!D32+PAR!D32+RAN!D32+RCO!D32+SA!D33+TFG!D32+TLD!D32</f>
        <v>148</v>
      </c>
      <c r="C31" s="18">
        <f>ACU!E32+AIB!E32+ARC!E32+AXS!E32+BOU!E32+BPO!E32+CSS!E32+MAM!E32+MED!E32+MEM!E32+MKT!E32+MTS!E32+NAV!E32+'NUM{THR}'!E32+PAR!E32+RAN!E32+RCO!E32+SA!E33+TFG!E32+TLD!E32</f>
        <v>151943.75</v>
      </c>
      <c r="D31" s="24">
        <f>ACU!F32+AIB!F32+ARC!F32+AXS!F32+BOU!F32+BPO!F32+CSS!F32+MAM!F32+MED!F32+MEM!F32+MKT!F32+MTS!F32+NAV!F32+'NUM{THR}'!F32+PAR!F32+RAN!F32+RCO!F32+SA!F33+TFG!F32+TLD!F32</f>
        <v>0</v>
      </c>
      <c r="E31" s="18">
        <f>ACU!G32+AIB!G32+ARC!G32+AXS!G32+BOU!G32+BPO!G32+CSS!G32+MAM!G32+MED!G32+MEM!G32+MKT!G32+MTS!G32+NAV!G32+'NUM{THR}'!G32+PAR!G32+RAN!G32+RCO!G32+SA!G33+TFG!G32+TLD!G32</f>
        <v>0</v>
      </c>
    </row>
    <row r="32" spans="1:14" x14ac:dyDescent="0.35">
      <c r="A32" s="22">
        <v>46053</v>
      </c>
      <c r="B32" s="20">
        <f>ACU!D33+AIB!D33+ARC!D33+AXS!D33+BOU!D33+BPO!D33+CSS!D33+MAM!D33+MED!D33+MEM!D33+MKT!D33+MTS!D33+NAV!D33+'NUM{THR}'!D33+PAR!D33+RAN!D33+RCO!D33+SA!D34+TFG!D33+TLD!D33</f>
        <v>112</v>
      </c>
      <c r="C32" s="18">
        <f>ACU!E33+AIB!E33+ARC!E33+AXS!E33+BOU!E33+BPO!E33+CSS!E33+MAM!E33+MED!E33+MEM!E33+MKT!E33+MTS!E33+NAV!E33+'NUM{THR}'!E33+PAR!E33+RAN!E33+RCO!E33+SA!E34+TFG!E33+TLD!E33</f>
        <v>114899</v>
      </c>
      <c r="D32" s="24">
        <f>ACU!F33+AIB!F33+ARC!F33+AXS!F33+BOU!F33+BPO!F33+CSS!F33+MAM!F33+MED!F33+MEM!F33+MKT!F33+MTS!F33+NAV!F33+'NUM{THR}'!F33+PAR!F33+RAN!F33+RCO!F33+SA!F34+TFG!F33+TLD!F33</f>
        <v>0</v>
      </c>
      <c r="E32" s="18">
        <f>ACU!G33+AIB!G33+ARC!G33+AXS!G33+BOU!G33+BPO!G33+CSS!G33+MAM!G33+MED!G33+MEM!G33+MKT!G33+MTS!G33+NAV!G33+'NUM{THR}'!G33+PAR!G33+RAN!G33+RCO!G33+SA!G34+TFG!G33+TLD!G33</f>
        <v>0</v>
      </c>
    </row>
    <row r="33" spans="2:5" x14ac:dyDescent="0.35">
      <c r="B33" s="19">
        <f t="shared" ref="B33:E33" si="1">SUBTOTAL(109,B2:B32)</f>
        <v>1999</v>
      </c>
      <c r="C33" s="26">
        <f t="shared" si="1"/>
        <v>2047332.75</v>
      </c>
      <c r="D33" s="23">
        <f t="shared" si="1"/>
        <v>0</v>
      </c>
      <c r="E33" s="26">
        <f t="shared" si="1"/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C5F9-DDD3-426F-9B1F-A29A72ED091F}">
  <dimension ref="A1:I33"/>
  <sheetViews>
    <sheetView workbookViewId="0">
      <pane ySplit="2" topLeftCell="A21" activePane="bottomLeft" state="frozen"/>
      <selection pane="bottomLeft" activeCell="B31" sqref="B31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4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</v>
      </c>
      <c r="E1" s="7">
        <f>E3+E4+E5+E6+E7+E8+E9+E10+E11+E12+E13+E14+E15+E16+E17+E18+E19+E20+E21+E22+E23+E24+E25+E26+E27+E28+E29+E30+E31+E32+E33</f>
        <v>578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</v>
      </c>
      <c r="I1" s="7">
        <f t="shared" si="0"/>
        <v>578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4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G3" s="13"/>
    </row>
    <row r="4" spans="1:9" x14ac:dyDescent="0.35">
      <c r="C4" s="11">
        <v>46024</v>
      </c>
      <c r="G4" s="15"/>
    </row>
    <row r="5" spans="1:9" x14ac:dyDescent="0.35">
      <c r="C5" s="11">
        <v>46025</v>
      </c>
      <c r="G5" s="15"/>
    </row>
    <row r="6" spans="1:9" x14ac:dyDescent="0.35">
      <c r="C6" s="11">
        <v>46026</v>
      </c>
      <c r="G6" s="15"/>
    </row>
    <row r="7" spans="1:9" x14ac:dyDescent="0.35">
      <c r="C7" s="11">
        <v>46027</v>
      </c>
      <c r="G7" s="15"/>
    </row>
    <row r="8" spans="1:9" x14ac:dyDescent="0.35">
      <c r="C8" s="11">
        <v>46028</v>
      </c>
      <c r="G8" s="15"/>
    </row>
    <row r="9" spans="1:9" x14ac:dyDescent="0.35">
      <c r="C9" s="11">
        <v>46029</v>
      </c>
      <c r="G9" s="13"/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C17" s="11">
        <v>46037</v>
      </c>
    </row>
    <row r="18" spans="1:9" x14ac:dyDescent="0.35">
      <c r="C18" s="11">
        <v>46038</v>
      </c>
    </row>
    <row r="19" spans="1:9" x14ac:dyDescent="0.35">
      <c r="C19" s="11">
        <v>46039</v>
      </c>
    </row>
    <row r="20" spans="1:9" x14ac:dyDescent="0.35">
      <c r="C20" s="11">
        <v>46040</v>
      </c>
    </row>
    <row r="21" spans="1:9" x14ac:dyDescent="0.35">
      <c r="C21" s="11">
        <v>46041</v>
      </c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</row>
    <row r="27" spans="1:9" x14ac:dyDescent="0.35">
      <c r="C27" s="11">
        <v>46047</v>
      </c>
    </row>
    <row r="28" spans="1:9" x14ac:dyDescent="0.35">
      <c r="C28" s="11">
        <v>46048</v>
      </c>
    </row>
    <row r="29" spans="1:9" x14ac:dyDescent="0.35">
      <c r="C29" s="11">
        <v>46049</v>
      </c>
    </row>
    <row r="30" spans="1:9" x14ac:dyDescent="0.35">
      <c r="C30" s="11">
        <v>46050</v>
      </c>
    </row>
    <row r="31" spans="1:9" x14ac:dyDescent="0.35">
      <c r="A31" s="11">
        <v>46045</v>
      </c>
      <c r="B31" s="1">
        <v>65</v>
      </c>
      <c r="C31" s="11">
        <v>46051</v>
      </c>
      <c r="D31">
        <v>1</v>
      </c>
      <c r="E31">
        <v>578</v>
      </c>
      <c r="F31">
        <v>0</v>
      </c>
      <c r="G31">
        <v>0</v>
      </c>
      <c r="H31">
        <v>1</v>
      </c>
      <c r="I31">
        <v>578</v>
      </c>
    </row>
    <row r="32" spans="1:9" x14ac:dyDescent="0.35">
      <c r="C32" s="11">
        <v>46052</v>
      </c>
      <c r="D32"/>
      <c r="E32"/>
      <c r="F32"/>
      <c r="G32"/>
      <c r="H32"/>
      <c r="I32"/>
    </row>
    <row r="33" spans="3:3" x14ac:dyDescent="0.35">
      <c r="C33" s="11">
        <v>46053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A5CE-CAE1-4B6A-A600-1BF418369C1C}">
  <dimension ref="A1:I33"/>
  <sheetViews>
    <sheetView workbookViewId="0">
      <pane ySplit="2" topLeftCell="A21" activePane="bottomLeft" state="frozen"/>
      <selection pane="bottomLeft" activeCell="B34" sqref="B34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12</v>
      </c>
      <c r="E1" s="7">
        <f t="shared" si="0"/>
        <v>9589</v>
      </c>
      <c r="F1" s="6">
        <f t="shared" si="0"/>
        <v>0</v>
      </c>
      <c r="G1" s="7">
        <f t="shared" si="0"/>
        <v>0</v>
      </c>
      <c r="H1" s="6">
        <f t="shared" si="0"/>
        <v>12</v>
      </c>
      <c r="I1" s="7">
        <f t="shared" si="0"/>
        <v>9589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A4" s="11">
        <v>46018</v>
      </c>
      <c r="B4" s="1">
        <v>322</v>
      </c>
      <c r="C4" s="11">
        <v>46024</v>
      </c>
      <c r="D4">
        <v>4</v>
      </c>
      <c r="E4">
        <v>3911</v>
      </c>
      <c r="F4">
        <v>0</v>
      </c>
      <c r="G4">
        <v>0</v>
      </c>
      <c r="H4">
        <v>4</v>
      </c>
      <c r="I4">
        <v>3911</v>
      </c>
    </row>
    <row r="5" spans="1:9" x14ac:dyDescent="0.35">
      <c r="C5" s="11">
        <v>46025</v>
      </c>
    </row>
    <row r="6" spans="1:9" x14ac:dyDescent="0.35">
      <c r="C6" s="11">
        <v>46026</v>
      </c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A9" s="11">
        <v>46024</v>
      </c>
      <c r="B9" s="1">
        <v>323</v>
      </c>
      <c r="C9" s="11">
        <v>46029</v>
      </c>
      <c r="D9">
        <v>2</v>
      </c>
      <c r="E9">
        <v>1316</v>
      </c>
      <c r="F9">
        <v>0</v>
      </c>
      <c r="G9">
        <v>0</v>
      </c>
      <c r="H9">
        <v>2</v>
      </c>
      <c r="I9">
        <v>1316</v>
      </c>
    </row>
    <row r="10" spans="1:9" x14ac:dyDescent="0.35">
      <c r="C10" s="11">
        <v>46030</v>
      </c>
      <c r="D10"/>
      <c r="E10"/>
      <c r="F10"/>
      <c r="G10"/>
      <c r="H10"/>
      <c r="I10"/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C17" s="11">
        <v>46037</v>
      </c>
    </row>
    <row r="18" spans="1:9" x14ac:dyDescent="0.35">
      <c r="C18" s="11">
        <v>46038</v>
      </c>
    </row>
    <row r="19" spans="1:9" x14ac:dyDescent="0.35">
      <c r="C19" s="11">
        <v>46039</v>
      </c>
    </row>
    <row r="20" spans="1:9" x14ac:dyDescent="0.35">
      <c r="C20" s="11">
        <v>46040</v>
      </c>
    </row>
    <row r="21" spans="1:9" x14ac:dyDescent="0.35">
      <c r="C21" s="11">
        <v>46041</v>
      </c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  <c r="D26"/>
      <c r="E26"/>
      <c r="F26"/>
      <c r="G26"/>
      <c r="H26"/>
      <c r="I26"/>
    </row>
    <row r="27" spans="1:9" x14ac:dyDescent="0.35">
      <c r="C27" s="11">
        <v>46047</v>
      </c>
      <c r="D27"/>
      <c r="E27"/>
      <c r="F27"/>
      <c r="G27"/>
      <c r="H27"/>
      <c r="I27"/>
    </row>
    <row r="28" spans="1:9" x14ac:dyDescent="0.35">
      <c r="A28" s="11">
        <v>46045</v>
      </c>
      <c r="B28" s="1">
        <v>324</v>
      </c>
      <c r="C28" s="11">
        <v>46048</v>
      </c>
      <c r="D28">
        <v>2</v>
      </c>
      <c r="E28">
        <v>1782</v>
      </c>
      <c r="F28">
        <v>0</v>
      </c>
      <c r="G28">
        <v>0</v>
      </c>
      <c r="H28">
        <v>2</v>
      </c>
      <c r="I28">
        <v>1782</v>
      </c>
    </row>
    <row r="29" spans="1:9" x14ac:dyDescent="0.35">
      <c r="A29" s="11">
        <v>46045</v>
      </c>
      <c r="B29" s="1">
        <v>324</v>
      </c>
      <c r="C29" s="11">
        <v>46049</v>
      </c>
      <c r="D29">
        <v>2</v>
      </c>
      <c r="E29">
        <v>1320</v>
      </c>
      <c r="F29">
        <v>0</v>
      </c>
      <c r="G29">
        <v>0</v>
      </c>
      <c r="H29">
        <v>2</v>
      </c>
      <c r="I29">
        <v>1320</v>
      </c>
    </row>
    <row r="30" spans="1:9" x14ac:dyDescent="0.35">
      <c r="C30" s="11">
        <v>46050</v>
      </c>
      <c r="D30"/>
      <c r="E30"/>
      <c r="F30"/>
      <c r="G30"/>
      <c r="H30"/>
      <c r="I30"/>
    </row>
    <row r="31" spans="1:9" x14ac:dyDescent="0.35">
      <c r="A31" s="11">
        <v>46045</v>
      </c>
      <c r="B31" s="1">
        <v>324</v>
      </c>
      <c r="C31" s="11">
        <v>46051</v>
      </c>
      <c r="D31">
        <v>1</v>
      </c>
      <c r="E31">
        <v>325</v>
      </c>
      <c r="F31">
        <v>0</v>
      </c>
      <c r="G31">
        <v>0</v>
      </c>
      <c r="H31">
        <v>1</v>
      </c>
      <c r="I31">
        <v>325</v>
      </c>
    </row>
    <row r="32" spans="1:9" x14ac:dyDescent="0.35">
      <c r="C32" s="11">
        <v>46052</v>
      </c>
      <c r="D32"/>
      <c r="E32"/>
      <c r="F32"/>
      <c r="G32"/>
      <c r="H32"/>
      <c r="I32"/>
    </row>
    <row r="33" spans="1:9" x14ac:dyDescent="0.35">
      <c r="A33" s="11">
        <v>46050</v>
      </c>
      <c r="B33" s="1">
        <v>326</v>
      </c>
      <c r="C33" s="11">
        <v>46053</v>
      </c>
      <c r="D33">
        <v>1</v>
      </c>
      <c r="E33">
        <v>935</v>
      </c>
      <c r="F33">
        <v>0</v>
      </c>
      <c r="G33">
        <v>0</v>
      </c>
      <c r="H33">
        <v>1</v>
      </c>
      <c r="I33">
        <v>935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A20D-0378-4B54-B54D-C8951D3D157E}">
  <dimension ref="A1:P33"/>
  <sheetViews>
    <sheetView topLeftCell="A22" workbookViewId="0">
      <selection activeCell="B33" sqref="A33:B33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bestFit="1" customWidth="1"/>
  </cols>
  <sheetData>
    <row r="1" spans="1:16" x14ac:dyDescent="0.35">
      <c r="D1" s="6">
        <f>D3+D4+D5+D6+D7+D8+D9+D10+D11+D12+D13+D14+D15+D16+D17+D18+D19+D20+D21+D22+D23+D24+D25+D26+D27+D28+D29+D30+D31+D32+D33</f>
        <v>16</v>
      </c>
      <c r="E1" s="7">
        <f>E3+E4+E5+E6+E7+E8+E9+E10+E11+E12+E13+E14+E15+E16+E17+E18+E19+E20+E21+E22+E23+E24+E25+E26+E27+E28+E29+E30+E31+E32+E33</f>
        <v>18078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16</v>
      </c>
      <c r="I1" s="7">
        <f t="shared" si="0"/>
        <v>18078</v>
      </c>
    </row>
    <row r="2" spans="1:16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t="s">
        <v>8</v>
      </c>
    </row>
    <row r="3" spans="1:16" x14ac:dyDescent="0.35">
      <c r="C3" s="11">
        <v>46023</v>
      </c>
      <c r="D3"/>
      <c r="E3"/>
      <c r="F3"/>
      <c r="G3"/>
      <c r="H3"/>
    </row>
    <row r="4" spans="1:16" x14ac:dyDescent="0.35">
      <c r="A4" s="11">
        <v>46018</v>
      </c>
      <c r="B4" s="1">
        <v>261</v>
      </c>
      <c r="C4" s="11">
        <v>46024</v>
      </c>
      <c r="D4">
        <v>7</v>
      </c>
      <c r="E4">
        <v>10011</v>
      </c>
      <c r="F4">
        <v>0</v>
      </c>
      <c r="G4">
        <v>0</v>
      </c>
      <c r="H4">
        <v>7</v>
      </c>
      <c r="I4">
        <v>10011</v>
      </c>
    </row>
    <row r="5" spans="1:16" x14ac:dyDescent="0.35">
      <c r="C5" s="11">
        <v>46025</v>
      </c>
      <c r="D5"/>
      <c r="E5"/>
      <c r="F5"/>
      <c r="G5"/>
      <c r="H5"/>
      <c r="K5" s="27"/>
      <c r="L5" s="27"/>
      <c r="M5" s="27"/>
      <c r="N5" s="27"/>
      <c r="O5" s="27"/>
      <c r="P5" s="28"/>
    </row>
    <row r="6" spans="1:16" x14ac:dyDescent="0.35">
      <c r="C6" s="11">
        <v>46026</v>
      </c>
      <c r="I6" s="4"/>
    </row>
    <row r="7" spans="1:16" x14ac:dyDescent="0.35">
      <c r="C7" s="11">
        <v>46027</v>
      </c>
      <c r="D7"/>
      <c r="E7"/>
      <c r="F7"/>
      <c r="G7"/>
      <c r="H7"/>
    </row>
    <row r="8" spans="1:16" x14ac:dyDescent="0.35">
      <c r="A8" s="11">
        <v>46024</v>
      </c>
      <c r="B8" s="1">
        <v>262</v>
      </c>
      <c r="C8" s="11">
        <v>46028</v>
      </c>
      <c r="D8">
        <v>1</v>
      </c>
      <c r="E8">
        <v>385</v>
      </c>
      <c r="F8">
        <v>0</v>
      </c>
      <c r="G8">
        <v>0</v>
      </c>
      <c r="H8">
        <v>1</v>
      </c>
      <c r="I8">
        <v>385</v>
      </c>
    </row>
    <row r="9" spans="1:16" x14ac:dyDescent="0.35">
      <c r="C9" s="11">
        <v>46029</v>
      </c>
      <c r="D9"/>
      <c r="E9"/>
      <c r="F9"/>
      <c r="G9"/>
      <c r="H9"/>
    </row>
    <row r="10" spans="1:16" x14ac:dyDescent="0.35">
      <c r="C10" s="11">
        <v>46030</v>
      </c>
      <c r="D10"/>
      <c r="E10"/>
      <c r="F10"/>
      <c r="G10"/>
      <c r="H10"/>
    </row>
    <row r="11" spans="1:16" x14ac:dyDescent="0.35">
      <c r="C11" s="11">
        <v>46031</v>
      </c>
      <c r="I11" s="4"/>
    </row>
    <row r="12" spans="1:16" x14ac:dyDescent="0.35">
      <c r="C12" s="11">
        <v>46032</v>
      </c>
      <c r="I12" s="4"/>
    </row>
    <row r="13" spans="1:16" x14ac:dyDescent="0.35">
      <c r="C13" s="11">
        <v>46033</v>
      </c>
      <c r="I13" s="4"/>
    </row>
    <row r="14" spans="1:16" x14ac:dyDescent="0.35">
      <c r="C14" s="11">
        <v>46034</v>
      </c>
      <c r="I14" s="4"/>
    </row>
    <row r="15" spans="1:16" x14ac:dyDescent="0.35">
      <c r="C15" s="11">
        <v>46035</v>
      </c>
      <c r="I15" s="4"/>
    </row>
    <row r="16" spans="1:16" x14ac:dyDescent="0.35">
      <c r="C16" s="11">
        <v>46036</v>
      </c>
      <c r="I16" s="4"/>
    </row>
    <row r="17" spans="1:9" x14ac:dyDescent="0.35">
      <c r="C17" s="11">
        <v>46037</v>
      </c>
      <c r="I17" s="4"/>
    </row>
    <row r="18" spans="1:9" x14ac:dyDescent="0.35">
      <c r="C18" s="11">
        <v>46038</v>
      </c>
      <c r="I18" s="4"/>
    </row>
    <row r="19" spans="1:9" x14ac:dyDescent="0.35">
      <c r="C19" s="11">
        <v>46039</v>
      </c>
      <c r="I19" s="4"/>
    </row>
    <row r="20" spans="1:9" x14ac:dyDescent="0.35">
      <c r="C20" s="11">
        <v>46040</v>
      </c>
      <c r="I20" s="4"/>
    </row>
    <row r="21" spans="1:9" x14ac:dyDescent="0.35">
      <c r="C21" s="11">
        <v>46041</v>
      </c>
      <c r="D21"/>
      <c r="E21"/>
      <c r="F21"/>
      <c r="G21"/>
      <c r="H21"/>
    </row>
    <row r="22" spans="1:9" x14ac:dyDescent="0.35">
      <c r="C22" s="11">
        <v>46042</v>
      </c>
      <c r="I22" s="4"/>
    </row>
    <row r="23" spans="1:9" x14ac:dyDescent="0.35">
      <c r="C23" s="11">
        <v>46043</v>
      </c>
      <c r="I23" s="4"/>
    </row>
    <row r="24" spans="1:9" x14ac:dyDescent="0.35">
      <c r="C24" s="11">
        <v>46044</v>
      </c>
      <c r="I24" s="4"/>
    </row>
    <row r="25" spans="1:9" x14ac:dyDescent="0.35">
      <c r="C25" s="11">
        <v>46045</v>
      </c>
      <c r="I25" s="4"/>
    </row>
    <row r="26" spans="1:9" x14ac:dyDescent="0.35">
      <c r="A26" s="11">
        <v>46045</v>
      </c>
      <c r="B26" s="1">
        <v>264</v>
      </c>
      <c r="C26" s="11">
        <v>46046</v>
      </c>
      <c r="D26">
        <v>1</v>
      </c>
      <c r="E26">
        <v>665</v>
      </c>
      <c r="F26">
        <v>0</v>
      </c>
      <c r="G26">
        <v>0</v>
      </c>
      <c r="H26">
        <v>1</v>
      </c>
      <c r="I26">
        <v>665</v>
      </c>
    </row>
    <row r="27" spans="1:9" x14ac:dyDescent="0.35">
      <c r="C27" s="11">
        <v>46047</v>
      </c>
      <c r="D27"/>
      <c r="E27"/>
      <c r="F27"/>
      <c r="G27"/>
      <c r="H27"/>
    </row>
    <row r="28" spans="1:9" x14ac:dyDescent="0.35">
      <c r="A28" s="11">
        <v>46045</v>
      </c>
      <c r="B28" s="1">
        <v>264</v>
      </c>
      <c r="C28" s="11">
        <v>46048</v>
      </c>
      <c r="D28">
        <v>1</v>
      </c>
      <c r="E28">
        <v>665</v>
      </c>
      <c r="F28">
        <v>0</v>
      </c>
      <c r="G28">
        <v>0</v>
      </c>
      <c r="H28">
        <v>1</v>
      </c>
      <c r="I28">
        <v>665</v>
      </c>
    </row>
    <row r="29" spans="1:9" x14ac:dyDescent="0.35">
      <c r="A29" s="11">
        <v>46045</v>
      </c>
      <c r="B29" s="1">
        <v>264</v>
      </c>
      <c r="C29" s="11">
        <v>46049</v>
      </c>
      <c r="D29">
        <v>3</v>
      </c>
      <c r="E29">
        <v>3190</v>
      </c>
      <c r="F29">
        <v>0</v>
      </c>
      <c r="G29">
        <v>0</v>
      </c>
      <c r="H29">
        <v>3</v>
      </c>
      <c r="I29">
        <v>3190</v>
      </c>
    </row>
    <row r="30" spans="1:9" x14ac:dyDescent="0.35">
      <c r="C30" s="11">
        <v>46050</v>
      </c>
      <c r="D30"/>
      <c r="E30"/>
      <c r="F30"/>
      <c r="G30"/>
      <c r="H30"/>
    </row>
    <row r="31" spans="1:9" x14ac:dyDescent="0.35">
      <c r="C31" s="11">
        <v>46051</v>
      </c>
      <c r="I31" s="4"/>
    </row>
    <row r="32" spans="1:9" x14ac:dyDescent="0.35">
      <c r="A32" s="11">
        <v>46050</v>
      </c>
      <c r="B32" s="1">
        <v>267</v>
      </c>
      <c r="C32" s="11">
        <v>46052</v>
      </c>
      <c r="D32">
        <v>1</v>
      </c>
      <c r="E32">
        <v>947</v>
      </c>
      <c r="F32">
        <v>0</v>
      </c>
      <c r="G32">
        <v>0</v>
      </c>
      <c r="H32">
        <v>1</v>
      </c>
      <c r="I32">
        <v>947</v>
      </c>
    </row>
    <row r="33" spans="1:9" x14ac:dyDescent="0.35">
      <c r="A33" s="11">
        <v>46050</v>
      </c>
      <c r="B33" s="1">
        <v>267</v>
      </c>
      <c r="C33" s="11">
        <v>46053</v>
      </c>
      <c r="D33">
        <v>2</v>
      </c>
      <c r="E33">
        <v>2215</v>
      </c>
      <c r="F33">
        <v>0</v>
      </c>
      <c r="G33">
        <v>0</v>
      </c>
      <c r="H33">
        <v>2</v>
      </c>
      <c r="I33">
        <v>2215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F187-755F-4580-9AEF-6D03510FD313}">
  <dimension ref="A1:I33"/>
  <sheetViews>
    <sheetView workbookViewId="0">
      <pane ySplit="2" topLeftCell="A18" activePane="bottomLeft" state="frozen"/>
      <selection pane="bottomLeft" activeCell="B33" sqref="B33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15</v>
      </c>
      <c r="E1" s="7">
        <f>E3+E4+E5+E6+E7+E8+E9+E10+E11+E12+E13+E14+E15+E16+E17+E18+E19+E20+E21+E22+E23+E24+E25+E26+E27+E28+E29+E30+E31+E32+E33</f>
        <v>11591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15</v>
      </c>
      <c r="I1" s="7">
        <f t="shared" si="0"/>
        <v>11591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A4" s="11">
        <v>46018</v>
      </c>
      <c r="B4" s="1">
        <v>405</v>
      </c>
      <c r="C4" s="11">
        <v>46024</v>
      </c>
      <c r="D4">
        <v>4</v>
      </c>
      <c r="E4">
        <v>2889</v>
      </c>
      <c r="F4">
        <v>0</v>
      </c>
      <c r="G4">
        <v>0</v>
      </c>
      <c r="H4">
        <v>4</v>
      </c>
      <c r="I4">
        <v>2889</v>
      </c>
    </row>
    <row r="5" spans="1:9" x14ac:dyDescent="0.35">
      <c r="C5" s="11">
        <v>46025</v>
      </c>
      <c r="D5"/>
      <c r="E5"/>
      <c r="F5"/>
      <c r="G5"/>
      <c r="H5"/>
      <c r="I5"/>
    </row>
    <row r="6" spans="1:9" x14ac:dyDescent="0.35">
      <c r="C6" s="11">
        <v>46026</v>
      </c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A9" s="11">
        <v>46024</v>
      </c>
      <c r="B9" s="1">
        <v>406</v>
      </c>
      <c r="C9" s="11">
        <v>46029</v>
      </c>
      <c r="D9">
        <v>1</v>
      </c>
      <c r="E9">
        <v>947</v>
      </c>
      <c r="F9">
        <v>0</v>
      </c>
      <c r="G9">
        <v>0</v>
      </c>
      <c r="H9">
        <v>1</v>
      </c>
      <c r="I9">
        <v>947</v>
      </c>
    </row>
    <row r="10" spans="1:9" x14ac:dyDescent="0.35">
      <c r="C10" s="11">
        <v>46030</v>
      </c>
      <c r="D10"/>
      <c r="E10"/>
      <c r="F10"/>
      <c r="G10"/>
      <c r="H10"/>
      <c r="I10"/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A16" s="11">
        <v>46031</v>
      </c>
      <c r="B16" s="1">
        <v>407</v>
      </c>
      <c r="C16" s="11">
        <v>46036</v>
      </c>
      <c r="D16">
        <v>1</v>
      </c>
      <c r="E16">
        <v>947</v>
      </c>
      <c r="F16">
        <v>0</v>
      </c>
      <c r="G16">
        <v>0</v>
      </c>
      <c r="H16">
        <v>1</v>
      </c>
      <c r="I16">
        <v>947</v>
      </c>
    </row>
    <row r="17" spans="1:9" x14ac:dyDescent="0.35">
      <c r="A17" s="11">
        <v>46031</v>
      </c>
      <c r="B17" s="1">
        <v>407</v>
      </c>
      <c r="C17" s="11">
        <v>46037</v>
      </c>
      <c r="D17">
        <v>2</v>
      </c>
      <c r="E17">
        <v>2078</v>
      </c>
      <c r="F17">
        <v>0</v>
      </c>
      <c r="G17">
        <v>0</v>
      </c>
      <c r="H17">
        <v>2</v>
      </c>
      <c r="I17">
        <v>2078</v>
      </c>
    </row>
    <row r="18" spans="1:9" x14ac:dyDescent="0.35">
      <c r="A18" s="11">
        <v>46035</v>
      </c>
      <c r="B18" s="1">
        <v>408</v>
      </c>
      <c r="C18" s="11">
        <v>46038</v>
      </c>
      <c r="D18">
        <v>1</v>
      </c>
      <c r="E18">
        <v>565</v>
      </c>
      <c r="F18">
        <v>0</v>
      </c>
      <c r="G18">
        <v>0</v>
      </c>
      <c r="H18">
        <v>1</v>
      </c>
      <c r="I18">
        <v>565</v>
      </c>
    </row>
    <row r="19" spans="1:9" x14ac:dyDescent="0.35">
      <c r="C19" s="11">
        <v>46039</v>
      </c>
      <c r="D19"/>
      <c r="E19"/>
      <c r="F19"/>
      <c r="G19"/>
      <c r="H19"/>
      <c r="I19"/>
    </row>
    <row r="20" spans="1:9" x14ac:dyDescent="0.35">
      <c r="C20" s="11">
        <v>46040</v>
      </c>
      <c r="D20"/>
      <c r="E20"/>
      <c r="F20"/>
      <c r="G20"/>
      <c r="H20"/>
      <c r="I20"/>
    </row>
    <row r="21" spans="1:9" x14ac:dyDescent="0.35">
      <c r="C21" s="11">
        <v>46041</v>
      </c>
      <c r="D21"/>
      <c r="E21"/>
      <c r="F21"/>
      <c r="G21"/>
      <c r="H21"/>
      <c r="I21"/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</row>
    <row r="27" spans="1:9" x14ac:dyDescent="0.35">
      <c r="C27" s="11">
        <v>46047</v>
      </c>
    </row>
    <row r="28" spans="1:9" x14ac:dyDescent="0.35">
      <c r="A28" s="11">
        <v>46045</v>
      </c>
      <c r="B28" s="1">
        <v>409</v>
      </c>
      <c r="C28" s="11">
        <v>46048</v>
      </c>
      <c r="D28">
        <v>1</v>
      </c>
      <c r="E28">
        <v>565</v>
      </c>
      <c r="F28">
        <v>0</v>
      </c>
      <c r="G28">
        <v>0</v>
      </c>
      <c r="H28">
        <v>1</v>
      </c>
      <c r="I28">
        <v>565</v>
      </c>
    </row>
    <row r="29" spans="1:9" x14ac:dyDescent="0.35">
      <c r="A29" s="11">
        <v>46045</v>
      </c>
      <c r="B29" s="1">
        <v>409</v>
      </c>
      <c r="C29" s="11">
        <v>46049</v>
      </c>
      <c r="D29">
        <v>1</v>
      </c>
      <c r="E29">
        <v>565</v>
      </c>
      <c r="F29">
        <v>0</v>
      </c>
      <c r="G29">
        <v>0</v>
      </c>
      <c r="H29">
        <v>1</v>
      </c>
      <c r="I29">
        <v>565</v>
      </c>
    </row>
    <row r="30" spans="1:9" x14ac:dyDescent="0.35">
      <c r="A30" s="11">
        <v>46045</v>
      </c>
      <c r="B30" s="1">
        <v>409</v>
      </c>
      <c r="C30" s="11">
        <v>46050</v>
      </c>
      <c r="D30">
        <v>1</v>
      </c>
      <c r="E30">
        <v>425</v>
      </c>
      <c r="F30">
        <v>0</v>
      </c>
      <c r="G30">
        <v>0</v>
      </c>
      <c r="H30">
        <v>1</v>
      </c>
      <c r="I30">
        <v>425</v>
      </c>
    </row>
    <row r="31" spans="1:9" x14ac:dyDescent="0.35">
      <c r="C31" s="11">
        <v>46051</v>
      </c>
      <c r="D31"/>
      <c r="E31"/>
      <c r="F31"/>
      <c r="G31"/>
      <c r="H31"/>
      <c r="I31"/>
    </row>
    <row r="32" spans="1:9" x14ac:dyDescent="0.35">
      <c r="C32" s="11">
        <v>46052</v>
      </c>
      <c r="D32"/>
      <c r="E32"/>
      <c r="F32"/>
      <c r="G32"/>
      <c r="H32"/>
      <c r="I32"/>
    </row>
    <row r="33" spans="1:9" x14ac:dyDescent="0.35">
      <c r="A33" s="11">
        <v>46050</v>
      </c>
      <c r="B33" s="1">
        <v>411</v>
      </c>
      <c r="C33" s="11">
        <v>46053</v>
      </c>
      <c r="D33">
        <v>3</v>
      </c>
      <c r="E33">
        <v>2610</v>
      </c>
      <c r="F33">
        <v>0</v>
      </c>
      <c r="G33">
        <v>0</v>
      </c>
      <c r="H33">
        <v>3</v>
      </c>
      <c r="I33">
        <v>2610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4811-676F-44AB-BB2D-B13261FA7FDC}">
  <dimension ref="A1:I33"/>
  <sheetViews>
    <sheetView workbookViewId="0">
      <pane ySplit="2" topLeftCell="A21" activePane="bottomLeft" state="frozen"/>
      <selection pane="bottomLeft" activeCell="B28" sqref="B28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4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2</v>
      </c>
      <c r="E1" s="7">
        <f>E3+E4+E5+E6+E7+E8+E9+E10+E11+E12+E13+E14+E15+E16+E17+E18+E19+E20+E21+E22+E23+E24+E25+E26+E27+E28+E29+E30+E31+E32+E33</f>
        <v>1560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2</v>
      </c>
      <c r="I1" s="7">
        <f t="shared" si="0"/>
        <v>1560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4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G3" s="13"/>
    </row>
    <row r="4" spans="1:9" x14ac:dyDescent="0.35">
      <c r="C4" s="11">
        <v>46024</v>
      </c>
      <c r="G4" s="15"/>
    </row>
    <row r="5" spans="1:9" x14ac:dyDescent="0.35">
      <c r="C5" s="11">
        <v>46025</v>
      </c>
      <c r="G5" s="15"/>
    </row>
    <row r="6" spans="1:9" x14ac:dyDescent="0.35">
      <c r="C6" s="11">
        <v>46026</v>
      </c>
      <c r="G6" s="15"/>
    </row>
    <row r="7" spans="1:9" x14ac:dyDescent="0.35">
      <c r="C7" s="11">
        <v>46027</v>
      </c>
      <c r="G7" s="15"/>
    </row>
    <row r="8" spans="1:9" x14ac:dyDescent="0.35">
      <c r="C8" s="11">
        <v>46028</v>
      </c>
      <c r="G8" s="15"/>
    </row>
    <row r="9" spans="1:9" x14ac:dyDescent="0.35">
      <c r="C9" s="11">
        <v>46029</v>
      </c>
      <c r="G9" s="13"/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C17" s="11">
        <v>46037</v>
      </c>
    </row>
    <row r="18" spans="1:9" x14ac:dyDescent="0.35">
      <c r="C18" s="11">
        <v>46038</v>
      </c>
    </row>
    <row r="19" spans="1:9" x14ac:dyDescent="0.35">
      <c r="C19" s="11">
        <v>46039</v>
      </c>
    </row>
    <row r="20" spans="1:9" x14ac:dyDescent="0.35">
      <c r="C20" s="11">
        <v>46040</v>
      </c>
    </row>
    <row r="21" spans="1:9" x14ac:dyDescent="0.35">
      <c r="C21" s="11">
        <v>46041</v>
      </c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A24" s="11">
        <v>46041</v>
      </c>
      <c r="B24" s="1">
        <v>387</v>
      </c>
      <c r="C24" s="11">
        <v>46044</v>
      </c>
      <c r="D24">
        <v>1</v>
      </c>
      <c r="E24">
        <v>895</v>
      </c>
      <c r="F24">
        <v>0</v>
      </c>
      <c r="G24">
        <v>0</v>
      </c>
      <c r="H24">
        <v>1</v>
      </c>
      <c r="I24">
        <v>895</v>
      </c>
    </row>
    <row r="25" spans="1:9" x14ac:dyDescent="0.35">
      <c r="C25" s="11">
        <v>46045</v>
      </c>
      <c r="D25"/>
      <c r="E25"/>
      <c r="F25"/>
      <c r="G25"/>
      <c r="H25"/>
      <c r="I25"/>
    </row>
    <row r="26" spans="1:9" x14ac:dyDescent="0.35">
      <c r="C26" s="11">
        <v>46046</v>
      </c>
    </row>
    <row r="27" spans="1:9" x14ac:dyDescent="0.35">
      <c r="C27" s="11">
        <v>46047</v>
      </c>
    </row>
    <row r="28" spans="1:9" x14ac:dyDescent="0.35">
      <c r="A28" s="11">
        <v>46045</v>
      </c>
      <c r="B28" s="1">
        <v>388</v>
      </c>
      <c r="C28" s="11">
        <v>46048</v>
      </c>
      <c r="D28">
        <v>1</v>
      </c>
      <c r="E28">
        <v>665</v>
      </c>
      <c r="F28">
        <v>0</v>
      </c>
      <c r="G28">
        <v>0</v>
      </c>
      <c r="H28">
        <v>1</v>
      </c>
      <c r="I28">
        <v>665</v>
      </c>
    </row>
    <row r="29" spans="1:9" x14ac:dyDescent="0.35">
      <c r="C29" s="11">
        <v>46049</v>
      </c>
      <c r="D29"/>
      <c r="E29"/>
      <c r="F29"/>
      <c r="G29"/>
      <c r="H29"/>
      <c r="I29"/>
    </row>
    <row r="30" spans="1:9" x14ac:dyDescent="0.35">
      <c r="C30" s="11">
        <v>46050</v>
      </c>
    </row>
    <row r="31" spans="1:9" x14ac:dyDescent="0.35">
      <c r="C31" s="11">
        <v>46051</v>
      </c>
    </row>
    <row r="32" spans="1:9" x14ac:dyDescent="0.35">
      <c r="C32" s="11">
        <v>46052</v>
      </c>
    </row>
    <row r="33" spans="3:3" x14ac:dyDescent="0.35">
      <c r="C33" s="11">
        <v>46053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2FB8-CEEB-4646-B21B-ECDB36DBC55B}">
  <dimension ref="A1:I33"/>
  <sheetViews>
    <sheetView workbookViewId="0">
      <pane ySplit="2" topLeftCell="A15" activePane="bottomLeft" state="frozen"/>
      <selection pane="bottomLeft" activeCell="B26" sqref="B26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6</v>
      </c>
      <c r="E1" s="7">
        <f>E3+E4+E5+E6+E7+E8+E9+E10+E11+E12+E13+E14+E15+E16+E17+E18+E19+E20+E21+E22+E23+E24+E25+E26+E27+E28+E29+E30+E31+E32+E33</f>
        <v>6302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6</v>
      </c>
      <c r="I1" s="7">
        <f t="shared" si="0"/>
        <v>6302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C4" s="11">
        <v>46024</v>
      </c>
    </row>
    <row r="5" spans="1:9" x14ac:dyDescent="0.35">
      <c r="A5" s="11">
        <v>46021</v>
      </c>
      <c r="B5" s="1">
        <v>198</v>
      </c>
      <c r="C5" s="11">
        <v>46025</v>
      </c>
      <c r="D5">
        <v>1</v>
      </c>
      <c r="E5">
        <v>935</v>
      </c>
      <c r="F5">
        <v>0</v>
      </c>
      <c r="G5">
        <v>0</v>
      </c>
      <c r="H5">
        <v>1</v>
      </c>
      <c r="I5">
        <v>935</v>
      </c>
    </row>
    <row r="6" spans="1:9" x14ac:dyDescent="0.35">
      <c r="C6" s="11">
        <v>46026</v>
      </c>
      <c r="D6"/>
      <c r="E6"/>
      <c r="F6"/>
      <c r="G6"/>
      <c r="H6"/>
      <c r="I6"/>
    </row>
    <row r="7" spans="1:9" x14ac:dyDescent="0.35">
      <c r="C7" s="11">
        <v>46027</v>
      </c>
    </row>
    <row r="8" spans="1:9" x14ac:dyDescent="0.35">
      <c r="C8" s="11">
        <v>46028</v>
      </c>
      <c r="D8"/>
      <c r="E8"/>
      <c r="F8"/>
      <c r="G8"/>
      <c r="H8"/>
      <c r="I8"/>
    </row>
    <row r="9" spans="1:9" x14ac:dyDescent="0.35">
      <c r="C9" s="11">
        <v>46029</v>
      </c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C17" s="11">
        <v>46037</v>
      </c>
    </row>
    <row r="18" spans="1:9" x14ac:dyDescent="0.35">
      <c r="C18" s="11">
        <v>46038</v>
      </c>
    </row>
    <row r="19" spans="1:9" x14ac:dyDescent="0.35">
      <c r="C19" s="11">
        <v>46039</v>
      </c>
    </row>
    <row r="20" spans="1:9" x14ac:dyDescent="0.35">
      <c r="C20" s="11">
        <v>46040</v>
      </c>
    </row>
    <row r="21" spans="1:9" x14ac:dyDescent="0.35">
      <c r="A21" s="11">
        <v>46035</v>
      </c>
      <c r="B21" s="1">
        <v>199</v>
      </c>
      <c r="C21" s="11">
        <v>46041</v>
      </c>
      <c r="D21">
        <v>1</v>
      </c>
      <c r="E21">
        <v>1131</v>
      </c>
      <c r="F21">
        <v>0</v>
      </c>
      <c r="G21">
        <v>0</v>
      </c>
      <c r="H21">
        <v>1</v>
      </c>
      <c r="I21">
        <v>1131</v>
      </c>
    </row>
    <row r="22" spans="1:9" x14ac:dyDescent="0.35">
      <c r="C22" s="11">
        <v>46042</v>
      </c>
      <c r="D22"/>
      <c r="E22"/>
      <c r="F22"/>
      <c r="G22"/>
      <c r="H22"/>
      <c r="I22"/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  <c r="D25"/>
      <c r="E25"/>
      <c r="F25"/>
      <c r="G25"/>
      <c r="H25"/>
      <c r="I25"/>
    </row>
    <row r="26" spans="1:9" x14ac:dyDescent="0.35">
      <c r="A26" s="11">
        <v>46045</v>
      </c>
      <c r="B26" s="1">
        <v>200</v>
      </c>
      <c r="C26" s="11">
        <v>46046</v>
      </c>
      <c r="D26">
        <v>1</v>
      </c>
      <c r="E26">
        <v>875</v>
      </c>
      <c r="F26">
        <v>0</v>
      </c>
      <c r="G26">
        <v>0</v>
      </c>
      <c r="H26">
        <v>1</v>
      </c>
      <c r="I26">
        <v>875</v>
      </c>
    </row>
    <row r="27" spans="1:9" x14ac:dyDescent="0.35">
      <c r="C27" s="11">
        <v>46047</v>
      </c>
    </row>
    <row r="28" spans="1:9" x14ac:dyDescent="0.35">
      <c r="C28" s="11">
        <v>46048</v>
      </c>
    </row>
    <row r="29" spans="1:9" x14ac:dyDescent="0.35">
      <c r="C29" s="11">
        <v>46049</v>
      </c>
    </row>
    <row r="30" spans="1:9" x14ac:dyDescent="0.35">
      <c r="C30" s="11">
        <v>46050</v>
      </c>
    </row>
    <row r="31" spans="1:9" x14ac:dyDescent="0.35">
      <c r="C31" s="11">
        <v>46051</v>
      </c>
    </row>
    <row r="32" spans="1:9" x14ac:dyDescent="0.35">
      <c r="A32" s="11">
        <v>46050</v>
      </c>
      <c r="B32" s="1">
        <v>202</v>
      </c>
      <c r="C32" s="11">
        <v>46052</v>
      </c>
      <c r="D32">
        <v>2</v>
      </c>
      <c r="E32">
        <v>2486</v>
      </c>
      <c r="F32">
        <v>0</v>
      </c>
      <c r="G32">
        <v>0</v>
      </c>
      <c r="H32">
        <v>2</v>
      </c>
      <c r="I32">
        <v>2486</v>
      </c>
    </row>
    <row r="33" spans="1:9" x14ac:dyDescent="0.35">
      <c r="A33" s="11">
        <v>46050</v>
      </c>
      <c r="B33" s="1">
        <v>202</v>
      </c>
      <c r="C33" s="11">
        <v>46053</v>
      </c>
      <c r="D33">
        <v>1</v>
      </c>
      <c r="E33">
        <v>875</v>
      </c>
      <c r="F33">
        <v>0</v>
      </c>
      <c r="G33">
        <v>0</v>
      </c>
      <c r="H33">
        <v>1</v>
      </c>
      <c r="I33">
        <v>875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5043-3179-4489-8485-109CF0AE4367}">
  <dimension ref="A1:I33"/>
  <sheetViews>
    <sheetView topLeftCell="A22" workbookViewId="0">
      <selection activeCell="B33" sqref="B33"/>
    </sheetView>
  </sheetViews>
  <sheetFormatPr defaultRowHeight="14.5" x14ac:dyDescent="0.35"/>
  <cols>
    <col min="1" max="1" width="13.453125" style="11" bestFit="1" customWidth="1"/>
    <col min="2" max="2" width="12.90625" style="1" bestFit="1" customWidth="1"/>
    <col min="3" max="3" width="10.7265625" style="10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2</v>
      </c>
      <c r="E1" s="7">
        <f>E3+E4+E5+E6+E7+E8+E9+E10+E11+E12+E13+E14+E15+E16+E17+E18+E19+E20+E21+E22+E23+E24+E25+E26+E27+E28+E29+E30+E31+E32+E33</f>
        <v>1055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2</v>
      </c>
      <c r="I1" s="7">
        <f t="shared" si="0"/>
        <v>1055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C4" s="11">
        <v>46024</v>
      </c>
      <c r="D4"/>
      <c r="E4"/>
      <c r="F4"/>
      <c r="G4"/>
      <c r="H4"/>
      <c r="I4"/>
    </row>
    <row r="5" spans="1:9" x14ac:dyDescent="0.35">
      <c r="C5" s="11">
        <v>46025</v>
      </c>
      <c r="D5"/>
      <c r="E5"/>
      <c r="F5"/>
      <c r="G5"/>
      <c r="H5"/>
      <c r="I5"/>
    </row>
    <row r="6" spans="1:9" x14ac:dyDescent="0.35">
      <c r="C6" s="11">
        <v>46026</v>
      </c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C9" s="11">
        <v>46029</v>
      </c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A17" s="11">
        <v>46031</v>
      </c>
      <c r="B17" s="1">
        <v>272</v>
      </c>
      <c r="C17" s="11">
        <v>46037</v>
      </c>
      <c r="D17">
        <v>1</v>
      </c>
      <c r="E17">
        <v>665</v>
      </c>
      <c r="F17">
        <v>0</v>
      </c>
      <c r="G17">
        <v>0</v>
      </c>
      <c r="H17">
        <v>1</v>
      </c>
      <c r="I17">
        <v>665</v>
      </c>
    </row>
    <row r="18" spans="1:9" x14ac:dyDescent="0.35">
      <c r="C18" s="11">
        <v>46038</v>
      </c>
    </row>
    <row r="19" spans="1:9" x14ac:dyDescent="0.35">
      <c r="C19" s="11">
        <v>46039</v>
      </c>
      <c r="D19"/>
      <c r="E19"/>
      <c r="F19"/>
      <c r="G19"/>
      <c r="H19"/>
      <c r="I19"/>
    </row>
    <row r="20" spans="1:9" x14ac:dyDescent="0.35">
      <c r="C20" s="11">
        <v>46040</v>
      </c>
    </row>
    <row r="21" spans="1:9" x14ac:dyDescent="0.35">
      <c r="C21" s="11">
        <v>46041</v>
      </c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</row>
    <row r="27" spans="1:9" x14ac:dyDescent="0.35">
      <c r="C27" s="11">
        <v>46047</v>
      </c>
    </row>
    <row r="28" spans="1:9" x14ac:dyDescent="0.35">
      <c r="C28" s="11">
        <v>46048</v>
      </c>
    </row>
    <row r="29" spans="1:9" x14ac:dyDescent="0.35">
      <c r="C29" s="11">
        <v>46049</v>
      </c>
    </row>
    <row r="30" spans="1:9" x14ac:dyDescent="0.35">
      <c r="C30" s="11">
        <v>46050</v>
      </c>
    </row>
    <row r="31" spans="1:9" x14ac:dyDescent="0.35">
      <c r="C31" s="11">
        <v>46051</v>
      </c>
    </row>
    <row r="32" spans="1:9" x14ac:dyDescent="0.35">
      <c r="C32" s="11">
        <v>46052</v>
      </c>
      <c r="D32"/>
      <c r="E32"/>
      <c r="F32"/>
      <c r="G32"/>
      <c r="H32"/>
      <c r="I32"/>
    </row>
    <row r="33" spans="1:9" x14ac:dyDescent="0.35">
      <c r="A33" s="11">
        <v>46050</v>
      </c>
      <c r="B33" s="1">
        <v>273</v>
      </c>
      <c r="C33" s="11">
        <v>46053</v>
      </c>
      <c r="D33">
        <v>1</v>
      </c>
      <c r="E33">
        <v>390</v>
      </c>
      <c r="F33">
        <v>0</v>
      </c>
      <c r="G33">
        <v>0</v>
      </c>
      <c r="H33">
        <v>1</v>
      </c>
      <c r="I33">
        <v>390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6870-A0EB-424F-ABEC-404F27F3D51D}">
  <dimension ref="A1:M33"/>
  <sheetViews>
    <sheetView workbookViewId="0">
      <pane ySplit="2" topLeftCell="A22" activePane="bottomLeft" state="frozen"/>
      <selection pane="bottomLeft" activeCell="A33" sqref="A33:B33"/>
    </sheetView>
  </sheetViews>
  <sheetFormatPr defaultRowHeight="14.5" x14ac:dyDescent="0.35"/>
  <cols>
    <col min="1" max="1" width="13.453125" style="11" bestFit="1" customWidth="1"/>
    <col min="2" max="2" width="12.90625" style="1" bestFit="1" customWidth="1"/>
    <col min="3" max="3" width="10.7265625" style="11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  <col min="11" max="11" width="11.08984375" bestFit="1" customWidth="1"/>
    <col min="13" max="13" width="10.08984375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163</v>
      </c>
      <c r="E1" s="7">
        <f t="shared" si="0"/>
        <v>161530.25</v>
      </c>
      <c r="F1" s="6">
        <f t="shared" si="0"/>
        <v>0</v>
      </c>
      <c r="G1" s="7">
        <f t="shared" si="0"/>
        <v>0</v>
      </c>
      <c r="H1" s="6">
        <f t="shared" si="0"/>
        <v>163</v>
      </c>
      <c r="I1" s="7">
        <f t="shared" si="0"/>
        <v>161530.25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A4" s="11">
        <v>46018</v>
      </c>
      <c r="B4" s="1" t="s">
        <v>39</v>
      </c>
      <c r="C4" s="11">
        <v>46024</v>
      </c>
      <c r="D4">
        <v>56</v>
      </c>
      <c r="E4">
        <v>54790.75</v>
      </c>
      <c r="F4">
        <v>0</v>
      </c>
      <c r="G4">
        <v>0</v>
      </c>
      <c r="H4">
        <v>56</v>
      </c>
      <c r="I4">
        <v>54790.75</v>
      </c>
    </row>
    <row r="5" spans="1:9" x14ac:dyDescent="0.35">
      <c r="A5" s="11">
        <v>46021</v>
      </c>
      <c r="B5" s="1">
        <v>583</v>
      </c>
      <c r="C5" s="11">
        <v>46025</v>
      </c>
      <c r="D5">
        <v>2</v>
      </c>
      <c r="E5">
        <v>2655</v>
      </c>
      <c r="F5">
        <v>0</v>
      </c>
      <c r="G5">
        <v>0</v>
      </c>
      <c r="H5">
        <v>2</v>
      </c>
      <c r="I5">
        <v>2655</v>
      </c>
    </row>
    <row r="6" spans="1:9" x14ac:dyDescent="0.35">
      <c r="C6" s="11">
        <v>46026</v>
      </c>
      <c r="D6"/>
      <c r="E6"/>
      <c r="F6"/>
      <c r="G6"/>
      <c r="H6"/>
      <c r="I6"/>
    </row>
    <row r="7" spans="1:9" x14ac:dyDescent="0.35">
      <c r="A7" s="11">
        <v>46021</v>
      </c>
      <c r="B7" s="1">
        <v>583</v>
      </c>
      <c r="C7" s="11">
        <v>46027</v>
      </c>
      <c r="D7">
        <v>7</v>
      </c>
      <c r="E7">
        <v>6191</v>
      </c>
      <c r="F7">
        <v>0</v>
      </c>
      <c r="G7">
        <v>0</v>
      </c>
      <c r="H7">
        <v>7</v>
      </c>
      <c r="I7">
        <v>6191</v>
      </c>
    </row>
    <row r="8" spans="1:9" x14ac:dyDescent="0.35">
      <c r="A8" s="11">
        <v>46024</v>
      </c>
      <c r="B8" s="1">
        <v>584</v>
      </c>
      <c r="C8" s="11">
        <v>46028</v>
      </c>
      <c r="D8">
        <v>3</v>
      </c>
      <c r="E8">
        <v>2498</v>
      </c>
      <c r="F8">
        <v>0</v>
      </c>
      <c r="G8">
        <v>0</v>
      </c>
      <c r="H8">
        <v>3</v>
      </c>
      <c r="I8">
        <v>2498</v>
      </c>
    </row>
    <row r="9" spans="1:9" x14ac:dyDescent="0.35">
      <c r="A9" s="11">
        <v>46024</v>
      </c>
      <c r="B9" s="1">
        <v>584</v>
      </c>
      <c r="C9" s="11">
        <v>46029</v>
      </c>
      <c r="D9">
        <v>3</v>
      </c>
      <c r="E9">
        <v>3901</v>
      </c>
      <c r="F9">
        <v>0</v>
      </c>
      <c r="G9">
        <v>0</v>
      </c>
      <c r="H9">
        <v>3</v>
      </c>
      <c r="I9">
        <v>3901</v>
      </c>
    </row>
    <row r="10" spans="1:9" x14ac:dyDescent="0.35">
      <c r="C10" s="11">
        <v>46030</v>
      </c>
      <c r="D10"/>
      <c r="E10"/>
      <c r="F10"/>
      <c r="G10"/>
      <c r="H10"/>
      <c r="I10"/>
    </row>
    <row r="11" spans="1:9" x14ac:dyDescent="0.35">
      <c r="C11" s="11">
        <v>46031</v>
      </c>
      <c r="D11"/>
      <c r="E11"/>
      <c r="F11"/>
      <c r="G11"/>
      <c r="H11"/>
      <c r="I11"/>
    </row>
    <row r="12" spans="1:9" x14ac:dyDescent="0.35">
      <c r="A12" s="11">
        <v>46028</v>
      </c>
      <c r="B12" s="1">
        <v>585</v>
      </c>
      <c r="C12" s="11">
        <v>46032</v>
      </c>
      <c r="D12">
        <v>3</v>
      </c>
      <c r="E12">
        <v>5465.5</v>
      </c>
      <c r="F12">
        <v>0</v>
      </c>
      <c r="G12">
        <v>0</v>
      </c>
      <c r="H12">
        <v>3</v>
      </c>
      <c r="I12">
        <v>5465.5</v>
      </c>
    </row>
    <row r="13" spans="1:9" x14ac:dyDescent="0.35">
      <c r="C13" s="11">
        <v>46033</v>
      </c>
      <c r="D13"/>
      <c r="E13"/>
      <c r="F13"/>
      <c r="G13"/>
      <c r="H13"/>
      <c r="I13"/>
    </row>
    <row r="14" spans="1:9" x14ac:dyDescent="0.35">
      <c r="A14" s="11">
        <v>46028</v>
      </c>
      <c r="B14" s="1">
        <v>585</v>
      </c>
      <c r="C14" s="11">
        <v>46034</v>
      </c>
      <c r="D14">
        <v>1</v>
      </c>
      <c r="E14">
        <v>1591</v>
      </c>
      <c r="F14">
        <v>0</v>
      </c>
      <c r="G14">
        <v>0</v>
      </c>
      <c r="H14">
        <v>1</v>
      </c>
      <c r="I14">
        <v>1591</v>
      </c>
    </row>
    <row r="15" spans="1:9" x14ac:dyDescent="0.35">
      <c r="C15" s="11">
        <v>46035</v>
      </c>
      <c r="D15"/>
      <c r="E15"/>
      <c r="F15"/>
      <c r="G15"/>
      <c r="H15"/>
      <c r="I15"/>
    </row>
    <row r="16" spans="1:9" x14ac:dyDescent="0.35">
      <c r="A16" s="11">
        <v>46031</v>
      </c>
      <c r="B16" s="1">
        <v>586</v>
      </c>
      <c r="C16" s="11">
        <v>46036</v>
      </c>
      <c r="D16">
        <v>1</v>
      </c>
      <c r="E16">
        <v>931</v>
      </c>
      <c r="F16">
        <v>0</v>
      </c>
      <c r="G16">
        <v>0</v>
      </c>
      <c r="H16">
        <v>1</v>
      </c>
      <c r="I16">
        <v>931</v>
      </c>
    </row>
    <row r="17" spans="1:13" x14ac:dyDescent="0.35">
      <c r="A17" s="11">
        <v>46031</v>
      </c>
      <c r="B17" s="1">
        <v>586</v>
      </c>
      <c r="C17" s="11">
        <v>46037</v>
      </c>
      <c r="D17">
        <v>7</v>
      </c>
      <c r="E17">
        <v>6253</v>
      </c>
      <c r="F17">
        <v>0</v>
      </c>
      <c r="G17">
        <v>0</v>
      </c>
      <c r="H17">
        <v>7</v>
      </c>
      <c r="I17">
        <v>6253</v>
      </c>
    </row>
    <row r="18" spans="1:13" x14ac:dyDescent="0.35">
      <c r="C18" s="11">
        <v>46038</v>
      </c>
    </row>
    <row r="19" spans="1:13" x14ac:dyDescent="0.35">
      <c r="C19" s="11">
        <v>46039</v>
      </c>
      <c r="D19"/>
      <c r="E19"/>
      <c r="F19"/>
      <c r="G19"/>
      <c r="H19"/>
      <c r="I19"/>
    </row>
    <row r="20" spans="1:13" s="2" customFormat="1" x14ac:dyDescent="0.35">
      <c r="A20" s="11"/>
      <c r="B20" s="1"/>
      <c r="C20" s="11">
        <v>46040</v>
      </c>
      <c r="D20"/>
      <c r="E20"/>
      <c r="F20"/>
      <c r="G20"/>
      <c r="H20"/>
      <c r="I20"/>
    </row>
    <row r="21" spans="1:13" s="2" customFormat="1" x14ac:dyDescent="0.35">
      <c r="A21" s="11"/>
      <c r="B21" s="1"/>
      <c r="C21" s="11">
        <v>46041</v>
      </c>
      <c r="D21"/>
      <c r="E21"/>
      <c r="F21"/>
      <c r="G21"/>
      <c r="H21"/>
      <c r="I21"/>
    </row>
    <row r="22" spans="1:13" x14ac:dyDescent="0.35">
      <c r="A22" s="11">
        <v>46041</v>
      </c>
      <c r="B22" s="1">
        <v>587</v>
      </c>
      <c r="C22" s="11">
        <v>46042</v>
      </c>
      <c r="D22">
        <v>3</v>
      </c>
      <c r="E22">
        <v>3612</v>
      </c>
      <c r="F22">
        <v>0</v>
      </c>
      <c r="G22">
        <v>0</v>
      </c>
      <c r="H22">
        <v>3</v>
      </c>
      <c r="I22">
        <v>3612</v>
      </c>
    </row>
    <row r="23" spans="1:13" x14ac:dyDescent="0.35">
      <c r="C23" s="11">
        <v>46043</v>
      </c>
      <c r="D23"/>
      <c r="E23"/>
      <c r="F23"/>
      <c r="G23"/>
      <c r="H23"/>
      <c r="I23"/>
    </row>
    <row r="24" spans="1:13" x14ac:dyDescent="0.35">
      <c r="C24" s="11">
        <v>46044</v>
      </c>
      <c r="D24"/>
      <c r="E24"/>
      <c r="F24"/>
      <c r="G24"/>
      <c r="H24"/>
      <c r="I24"/>
      <c r="M24" s="17"/>
    </row>
    <row r="25" spans="1:13" x14ac:dyDescent="0.35">
      <c r="C25" s="11">
        <v>46045</v>
      </c>
    </row>
    <row r="26" spans="1:13" x14ac:dyDescent="0.35">
      <c r="A26" s="11">
        <v>46045</v>
      </c>
      <c r="B26" s="1">
        <v>588</v>
      </c>
      <c r="C26" s="11">
        <v>46046</v>
      </c>
      <c r="D26">
        <v>5</v>
      </c>
      <c r="E26">
        <v>5446</v>
      </c>
      <c r="F26">
        <v>0</v>
      </c>
      <c r="G26">
        <v>0</v>
      </c>
      <c r="H26">
        <v>5</v>
      </c>
      <c r="I26">
        <v>5446</v>
      </c>
    </row>
    <row r="27" spans="1:13" x14ac:dyDescent="0.35">
      <c r="C27" s="11">
        <v>46047</v>
      </c>
      <c r="D27"/>
      <c r="E27"/>
      <c r="F27"/>
      <c r="G27"/>
      <c r="H27"/>
      <c r="I27"/>
    </row>
    <row r="28" spans="1:13" x14ac:dyDescent="0.35">
      <c r="A28" s="11">
        <v>46045</v>
      </c>
      <c r="B28" s="1">
        <v>588</v>
      </c>
      <c r="C28" s="11">
        <v>46048</v>
      </c>
      <c r="D28">
        <v>25</v>
      </c>
      <c r="E28">
        <v>25265</v>
      </c>
      <c r="F28">
        <v>0</v>
      </c>
      <c r="G28">
        <v>0</v>
      </c>
      <c r="H28">
        <v>25</v>
      </c>
      <c r="I28">
        <v>25265</v>
      </c>
    </row>
    <row r="29" spans="1:13" x14ac:dyDescent="0.35">
      <c r="A29" s="11">
        <v>46045</v>
      </c>
      <c r="B29" s="1">
        <v>588</v>
      </c>
      <c r="C29" s="11">
        <v>46049</v>
      </c>
      <c r="D29">
        <v>6</v>
      </c>
      <c r="E29">
        <v>5624</v>
      </c>
      <c r="F29">
        <v>0</v>
      </c>
      <c r="G29">
        <v>0</v>
      </c>
      <c r="H29">
        <v>6</v>
      </c>
      <c r="I29">
        <v>5624</v>
      </c>
    </row>
    <row r="30" spans="1:13" x14ac:dyDescent="0.35">
      <c r="A30" s="11">
        <v>46045</v>
      </c>
      <c r="B30" s="1">
        <v>588</v>
      </c>
      <c r="C30" s="11">
        <v>46050</v>
      </c>
      <c r="D30">
        <v>8</v>
      </c>
      <c r="E30">
        <v>4797</v>
      </c>
      <c r="F30">
        <v>0</v>
      </c>
      <c r="G30">
        <v>0</v>
      </c>
      <c r="H30">
        <v>8</v>
      </c>
      <c r="I30">
        <v>4797</v>
      </c>
    </row>
    <row r="31" spans="1:13" x14ac:dyDescent="0.35">
      <c r="A31" s="11">
        <v>46045</v>
      </c>
      <c r="B31" s="1">
        <v>588</v>
      </c>
      <c r="C31" s="11">
        <v>46051</v>
      </c>
      <c r="D31">
        <v>2</v>
      </c>
      <c r="E31">
        <v>1855</v>
      </c>
      <c r="F31">
        <v>0</v>
      </c>
      <c r="G31">
        <v>0</v>
      </c>
      <c r="H31">
        <v>2</v>
      </c>
      <c r="I31">
        <v>1855</v>
      </c>
      <c r="K31" s="17"/>
    </row>
    <row r="32" spans="1:13" x14ac:dyDescent="0.35">
      <c r="A32" s="11">
        <v>46050</v>
      </c>
      <c r="B32" s="1">
        <v>591</v>
      </c>
      <c r="C32" s="11">
        <v>46052</v>
      </c>
      <c r="D32">
        <v>10</v>
      </c>
      <c r="E32">
        <v>10650</v>
      </c>
      <c r="F32">
        <v>0</v>
      </c>
      <c r="G32">
        <v>0</v>
      </c>
      <c r="H32">
        <v>10</v>
      </c>
      <c r="I32">
        <v>10650</v>
      </c>
    </row>
    <row r="33" spans="1:9" x14ac:dyDescent="0.35">
      <c r="A33" s="11">
        <v>46050</v>
      </c>
      <c r="B33" s="1">
        <v>591</v>
      </c>
      <c r="C33" s="11">
        <v>46053</v>
      </c>
      <c r="D33">
        <v>21</v>
      </c>
      <c r="E33">
        <v>20005</v>
      </c>
      <c r="F33">
        <v>0</v>
      </c>
      <c r="G33">
        <v>0</v>
      </c>
      <c r="H33">
        <v>21</v>
      </c>
      <c r="I33">
        <v>20005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6E59-74E9-44A8-AB1D-708A206DFE40}">
  <dimension ref="A1:P33"/>
  <sheetViews>
    <sheetView workbookViewId="0">
      <pane ySplit="2" topLeftCell="A18" activePane="bottomLeft" state="frozen"/>
      <selection pane="bottomLeft" activeCell="C33" sqref="C33"/>
    </sheetView>
  </sheetViews>
  <sheetFormatPr defaultRowHeight="14.5" x14ac:dyDescent="0.35"/>
  <cols>
    <col min="1" max="1" width="13.453125" style="11" bestFit="1" customWidth="1"/>
    <col min="2" max="2" width="12.90625" style="1" bestFit="1" customWidth="1"/>
    <col min="3" max="3" width="10.7265625" style="11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</cols>
  <sheetData>
    <row r="1" spans="1:16" x14ac:dyDescent="0.35">
      <c r="D1" s="6">
        <f>D3+D4+D5+D6+D7+D8+D9+D10+D11+D12+D13+D14+D15+D16+D17+D18+D19+D20+D21+D22+D23+D24+D25+D26+D27+D28+D29+D30+D31+D32+D33</f>
        <v>54</v>
      </c>
      <c r="E1" s="7">
        <f>E3+E4+E5+E6+E7+E8+E9+E10+E11+E12+E13+E14+E15+E16+E17+E18+E19+E20+E21+E22+E23+E24+E25+E26+E27+E28+E29+E30+E31+E32+E33</f>
        <v>48188.75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54</v>
      </c>
      <c r="I1" s="7">
        <f t="shared" si="0"/>
        <v>48188.75</v>
      </c>
    </row>
    <row r="2" spans="1:16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16" x14ac:dyDescent="0.35">
      <c r="C3" s="11">
        <v>46023</v>
      </c>
      <c r="D3"/>
      <c r="E3"/>
      <c r="F3"/>
      <c r="G3"/>
      <c r="H3"/>
      <c r="I3"/>
    </row>
    <row r="4" spans="1:16" x14ac:dyDescent="0.35">
      <c r="A4" s="11">
        <v>46748</v>
      </c>
      <c r="B4" s="1" t="s">
        <v>42</v>
      </c>
      <c r="C4" s="11">
        <v>46024</v>
      </c>
      <c r="D4">
        <v>18</v>
      </c>
      <c r="E4">
        <v>18466</v>
      </c>
      <c r="F4">
        <v>0</v>
      </c>
      <c r="G4">
        <v>0</v>
      </c>
      <c r="H4">
        <v>18</v>
      </c>
      <c r="I4">
        <v>18466</v>
      </c>
    </row>
    <row r="5" spans="1:16" x14ac:dyDescent="0.35">
      <c r="C5" s="11">
        <v>46025</v>
      </c>
      <c r="D5"/>
      <c r="E5"/>
      <c r="F5"/>
      <c r="G5"/>
      <c r="H5"/>
      <c r="I5"/>
      <c r="K5" s="27"/>
      <c r="L5" s="27"/>
      <c r="M5" s="27"/>
      <c r="N5" s="27"/>
      <c r="O5" s="27"/>
      <c r="P5" s="28"/>
    </row>
    <row r="6" spans="1:16" x14ac:dyDescent="0.35">
      <c r="C6" s="11">
        <v>46026</v>
      </c>
      <c r="D6"/>
      <c r="E6"/>
      <c r="F6"/>
      <c r="G6"/>
      <c r="H6"/>
      <c r="I6"/>
    </row>
    <row r="7" spans="1:16" x14ac:dyDescent="0.35">
      <c r="A7" s="11">
        <v>46021</v>
      </c>
      <c r="B7" s="1">
        <v>539</v>
      </c>
      <c r="C7" s="11">
        <v>46027</v>
      </c>
      <c r="D7">
        <v>3</v>
      </c>
      <c r="E7">
        <v>1555</v>
      </c>
      <c r="F7">
        <v>0</v>
      </c>
      <c r="G7">
        <v>0</v>
      </c>
      <c r="H7">
        <v>3</v>
      </c>
      <c r="I7">
        <v>1555</v>
      </c>
    </row>
    <row r="8" spans="1:16" x14ac:dyDescent="0.35">
      <c r="C8" s="11">
        <v>46028</v>
      </c>
      <c r="D8"/>
      <c r="E8"/>
      <c r="F8"/>
      <c r="G8"/>
      <c r="H8"/>
      <c r="I8"/>
    </row>
    <row r="9" spans="1:16" x14ac:dyDescent="0.35">
      <c r="A9" s="11" t="s">
        <v>43</v>
      </c>
      <c r="B9" s="1">
        <v>540</v>
      </c>
      <c r="C9" s="11">
        <v>46029</v>
      </c>
      <c r="D9">
        <v>1</v>
      </c>
      <c r="E9">
        <v>935</v>
      </c>
      <c r="F9">
        <v>0</v>
      </c>
      <c r="G9">
        <v>0</v>
      </c>
      <c r="H9">
        <v>1</v>
      </c>
      <c r="I9">
        <v>935</v>
      </c>
    </row>
    <row r="10" spans="1:16" x14ac:dyDescent="0.35">
      <c r="C10" s="11">
        <v>46030</v>
      </c>
      <c r="D10"/>
      <c r="E10"/>
      <c r="F10"/>
      <c r="G10"/>
      <c r="H10"/>
      <c r="I10"/>
    </row>
    <row r="11" spans="1:16" x14ac:dyDescent="0.35">
      <c r="C11" s="11">
        <v>46031</v>
      </c>
      <c r="D11"/>
      <c r="E11"/>
      <c r="F11"/>
      <c r="G11"/>
      <c r="H11"/>
      <c r="I11"/>
    </row>
    <row r="12" spans="1:16" x14ac:dyDescent="0.35">
      <c r="C12" s="11">
        <v>46032</v>
      </c>
    </row>
    <row r="13" spans="1:16" x14ac:dyDescent="0.35">
      <c r="C13" s="11">
        <v>46033</v>
      </c>
      <c r="D13"/>
      <c r="E13"/>
      <c r="F13"/>
      <c r="G13"/>
      <c r="H13"/>
      <c r="I13"/>
    </row>
    <row r="14" spans="1:16" x14ac:dyDescent="0.35">
      <c r="A14" s="11">
        <v>46028</v>
      </c>
      <c r="B14" s="1">
        <v>541</v>
      </c>
      <c r="C14" s="11">
        <v>46034</v>
      </c>
      <c r="D14">
        <v>1</v>
      </c>
      <c r="E14">
        <v>875</v>
      </c>
      <c r="F14">
        <v>0</v>
      </c>
      <c r="G14">
        <v>0</v>
      </c>
      <c r="H14">
        <v>1</v>
      </c>
      <c r="I14">
        <v>875</v>
      </c>
    </row>
    <row r="15" spans="1:16" x14ac:dyDescent="0.35">
      <c r="C15" s="11">
        <v>46035</v>
      </c>
    </row>
    <row r="16" spans="1:16" x14ac:dyDescent="0.35">
      <c r="C16" s="11">
        <v>46036</v>
      </c>
    </row>
    <row r="17" spans="1:9" x14ac:dyDescent="0.35">
      <c r="A17" s="11">
        <v>46031</v>
      </c>
      <c r="B17" s="1">
        <v>542</v>
      </c>
      <c r="C17" s="11">
        <v>46037</v>
      </c>
      <c r="D17">
        <v>2</v>
      </c>
      <c r="E17">
        <v>1638</v>
      </c>
      <c r="F17">
        <v>0</v>
      </c>
      <c r="G17">
        <v>0</v>
      </c>
      <c r="H17">
        <v>2</v>
      </c>
      <c r="I17">
        <v>1638</v>
      </c>
    </row>
    <row r="18" spans="1:9" x14ac:dyDescent="0.35">
      <c r="C18" s="11">
        <v>46038</v>
      </c>
      <c r="D18"/>
      <c r="E18"/>
      <c r="F18"/>
      <c r="G18"/>
      <c r="H18"/>
      <c r="I18"/>
    </row>
    <row r="19" spans="1:9" x14ac:dyDescent="0.35">
      <c r="C19" s="11">
        <v>46039</v>
      </c>
      <c r="D19"/>
      <c r="E19"/>
      <c r="F19"/>
      <c r="G19"/>
      <c r="H19"/>
      <c r="I19"/>
    </row>
    <row r="20" spans="1:9" x14ac:dyDescent="0.35">
      <c r="C20" s="11">
        <v>46040</v>
      </c>
    </row>
    <row r="21" spans="1:9" x14ac:dyDescent="0.35">
      <c r="C21" s="11">
        <v>46041</v>
      </c>
      <c r="D21"/>
      <c r="E21"/>
      <c r="F21"/>
      <c r="G21"/>
      <c r="H21"/>
      <c r="I21"/>
    </row>
    <row r="22" spans="1:9" x14ac:dyDescent="0.35">
      <c r="A22" s="11">
        <v>46041</v>
      </c>
      <c r="B22" s="1">
        <v>543</v>
      </c>
      <c r="C22" s="11">
        <v>46042</v>
      </c>
      <c r="D22">
        <v>2</v>
      </c>
      <c r="E22">
        <v>1230</v>
      </c>
      <c r="F22">
        <v>0</v>
      </c>
      <c r="G22">
        <v>0</v>
      </c>
      <c r="H22">
        <v>2</v>
      </c>
      <c r="I22">
        <v>1230</v>
      </c>
    </row>
    <row r="23" spans="1:9" x14ac:dyDescent="0.35">
      <c r="C23" s="11">
        <v>46043</v>
      </c>
      <c r="D23"/>
      <c r="E23"/>
      <c r="F23"/>
      <c r="G23"/>
      <c r="H23"/>
      <c r="I23"/>
    </row>
    <row r="24" spans="1:9" x14ac:dyDescent="0.35">
      <c r="C24" s="11">
        <v>46044</v>
      </c>
      <c r="D24"/>
      <c r="E24"/>
      <c r="F24"/>
      <c r="G24"/>
      <c r="H24"/>
      <c r="I24"/>
    </row>
    <row r="25" spans="1:9" x14ac:dyDescent="0.35">
      <c r="C25" s="11">
        <v>46045</v>
      </c>
    </row>
    <row r="26" spans="1:9" x14ac:dyDescent="0.35">
      <c r="A26" s="11">
        <v>46045</v>
      </c>
      <c r="B26" s="1">
        <v>544</v>
      </c>
      <c r="C26" s="11">
        <v>46046</v>
      </c>
      <c r="D26">
        <v>2</v>
      </c>
      <c r="E26">
        <v>1300</v>
      </c>
      <c r="F26">
        <v>0</v>
      </c>
      <c r="G26">
        <v>0</v>
      </c>
      <c r="H26">
        <v>2</v>
      </c>
      <c r="I26">
        <v>1300</v>
      </c>
    </row>
    <row r="27" spans="1:9" x14ac:dyDescent="0.35">
      <c r="C27" s="11">
        <v>46047</v>
      </c>
      <c r="D27"/>
      <c r="E27"/>
      <c r="F27"/>
      <c r="G27"/>
      <c r="H27"/>
      <c r="I27"/>
    </row>
    <row r="28" spans="1:9" x14ac:dyDescent="0.35">
      <c r="A28" s="11">
        <v>46045</v>
      </c>
      <c r="B28" s="1">
        <v>544</v>
      </c>
      <c r="C28" s="11">
        <v>46048</v>
      </c>
      <c r="D28">
        <v>13</v>
      </c>
      <c r="E28">
        <v>11883</v>
      </c>
      <c r="F28">
        <v>0</v>
      </c>
      <c r="G28">
        <v>0</v>
      </c>
      <c r="H28">
        <v>13</v>
      </c>
      <c r="I28">
        <v>11883</v>
      </c>
    </row>
    <row r="29" spans="1:9" x14ac:dyDescent="0.35">
      <c r="A29" s="11">
        <v>46045</v>
      </c>
      <c r="B29" s="1">
        <v>544</v>
      </c>
      <c r="C29" s="11">
        <v>46049</v>
      </c>
      <c r="D29">
        <v>3</v>
      </c>
      <c r="E29">
        <v>2461</v>
      </c>
      <c r="F29">
        <v>0</v>
      </c>
      <c r="G29">
        <v>0</v>
      </c>
      <c r="H29">
        <v>3</v>
      </c>
      <c r="I29">
        <v>2461</v>
      </c>
    </row>
    <row r="30" spans="1:9" x14ac:dyDescent="0.35">
      <c r="A30" s="11">
        <v>46045</v>
      </c>
      <c r="B30" s="1">
        <v>544</v>
      </c>
      <c r="C30" s="11">
        <v>46050</v>
      </c>
      <c r="D30">
        <v>1</v>
      </c>
      <c r="E30">
        <v>918.75</v>
      </c>
      <c r="F30">
        <v>0</v>
      </c>
      <c r="G30">
        <v>0</v>
      </c>
      <c r="H30">
        <v>1</v>
      </c>
      <c r="I30">
        <v>918.75</v>
      </c>
    </row>
    <row r="31" spans="1:9" x14ac:dyDescent="0.35">
      <c r="C31" s="11">
        <v>46051</v>
      </c>
      <c r="D31"/>
      <c r="E31"/>
      <c r="F31"/>
      <c r="G31"/>
      <c r="H31"/>
      <c r="I31"/>
    </row>
    <row r="32" spans="1:9" x14ac:dyDescent="0.35">
      <c r="A32" s="11">
        <v>46050</v>
      </c>
      <c r="B32" s="1">
        <v>547</v>
      </c>
      <c r="C32" s="11">
        <v>46052</v>
      </c>
      <c r="D32">
        <v>3</v>
      </c>
      <c r="E32">
        <v>2592</v>
      </c>
      <c r="F32">
        <v>0</v>
      </c>
      <c r="G32">
        <v>0</v>
      </c>
      <c r="H32">
        <v>3</v>
      </c>
      <c r="I32">
        <v>2592</v>
      </c>
    </row>
    <row r="33" spans="1:9" x14ac:dyDescent="0.35">
      <c r="A33" s="11">
        <v>46050</v>
      </c>
      <c r="B33" s="1">
        <v>547</v>
      </c>
      <c r="C33" s="11">
        <v>46053</v>
      </c>
      <c r="D33">
        <v>5</v>
      </c>
      <c r="E33">
        <v>4335</v>
      </c>
      <c r="F33">
        <v>0</v>
      </c>
      <c r="G33">
        <v>0</v>
      </c>
      <c r="H33">
        <v>5</v>
      </c>
      <c r="I33">
        <v>4335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363E-D80E-4DF6-AAF8-66D051C1EDA2}">
  <dimension ref="A1:I33"/>
  <sheetViews>
    <sheetView workbookViewId="0">
      <pane ySplit="2" topLeftCell="A21" activePane="bottomLeft" state="frozen"/>
      <selection pane="bottomLeft" activeCell="B33" sqref="B33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  <col min="15" max="15" width="10.08984375" bestFit="1" customWidth="1"/>
  </cols>
  <sheetData>
    <row r="1" spans="1:9" x14ac:dyDescent="0.35">
      <c r="D1" s="6">
        <f t="shared" ref="D1:I1" si="0">D3+D4+D5+D6+D7+D8+D9+D10+D11+D12+D13+D14+D15+D16+D17+D18+D19+D20+D21+D22+D23+D24+D25+D26+D27+D28+D29+D30+D31+D32+D33</f>
        <v>56</v>
      </c>
      <c r="E1" s="7">
        <f t="shared" si="0"/>
        <v>52231</v>
      </c>
      <c r="F1" s="6">
        <f t="shared" si="0"/>
        <v>0</v>
      </c>
      <c r="G1" s="7">
        <f t="shared" si="0"/>
        <v>0</v>
      </c>
      <c r="H1" s="6">
        <f t="shared" si="0"/>
        <v>56</v>
      </c>
      <c r="I1" s="7">
        <f t="shared" si="0"/>
        <v>52231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A4" s="11">
        <v>46018</v>
      </c>
      <c r="B4" s="1" t="s">
        <v>41</v>
      </c>
      <c r="C4" s="11">
        <v>46024</v>
      </c>
      <c r="D4">
        <v>17</v>
      </c>
      <c r="E4">
        <v>15514</v>
      </c>
      <c r="F4">
        <v>0</v>
      </c>
      <c r="G4">
        <v>0</v>
      </c>
      <c r="H4">
        <v>17</v>
      </c>
      <c r="I4">
        <v>15514</v>
      </c>
    </row>
    <row r="5" spans="1:9" x14ac:dyDescent="0.35">
      <c r="A5" s="11">
        <v>46021</v>
      </c>
      <c r="B5" s="1">
        <v>537</v>
      </c>
      <c r="C5" s="11">
        <v>46025</v>
      </c>
      <c r="D5">
        <v>2</v>
      </c>
      <c r="E5">
        <v>1330</v>
      </c>
      <c r="F5">
        <v>0</v>
      </c>
      <c r="G5">
        <v>0</v>
      </c>
      <c r="H5">
        <v>2</v>
      </c>
      <c r="I5">
        <v>1330</v>
      </c>
    </row>
    <row r="6" spans="1:9" x14ac:dyDescent="0.35">
      <c r="C6" s="11">
        <v>46026</v>
      </c>
      <c r="D6"/>
      <c r="E6"/>
      <c r="F6"/>
      <c r="G6"/>
      <c r="H6"/>
      <c r="I6"/>
    </row>
    <row r="7" spans="1:9" x14ac:dyDescent="0.35">
      <c r="A7" s="11">
        <v>46021</v>
      </c>
      <c r="B7" s="1">
        <v>537</v>
      </c>
      <c r="C7" s="11">
        <v>46027</v>
      </c>
      <c r="D7">
        <v>3</v>
      </c>
      <c r="E7">
        <v>2235</v>
      </c>
      <c r="F7">
        <v>0</v>
      </c>
      <c r="G7">
        <v>0</v>
      </c>
      <c r="H7">
        <v>3</v>
      </c>
      <c r="I7">
        <v>2235</v>
      </c>
    </row>
    <row r="8" spans="1:9" x14ac:dyDescent="0.35">
      <c r="A8" s="11">
        <v>46024</v>
      </c>
      <c r="B8" s="1">
        <v>538</v>
      </c>
      <c r="C8" s="11">
        <v>46028</v>
      </c>
      <c r="D8">
        <v>1</v>
      </c>
      <c r="E8">
        <v>791</v>
      </c>
      <c r="F8">
        <v>0</v>
      </c>
      <c r="G8">
        <v>0</v>
      </c>
      <c r="H8">
        <v>1</v>
      </c>
      <c r="I8">
        <v>791</v>
      </c>
    </row>
    <row r="9" spans="1:9" x14ac:dyDescent="0.35">
      <c r="A9" s="11">
        <v>46024</v>
      </c>
      <c r="B9" s="1">
        <v>538</v>
      </c>
      <c r="C9" s="11">
        <v>46029</v>
      </c>
      <c r="D9">
        <v>1</v>
      </c>
      <c r="E9">
        <v>2195</v>
      </c>
      <c r="F9">
        <v>0</v>
      </c>
      <c r="G9">
        <v>0</v>
      </c>
      <c r="H9">
        <v>1</v>
      </c>
      <c r="I9">
        <v>2195</v>
      </c>
    </row>
    <row r="10" spans="1:9" x14ac:dyDescent="0.35">
      <c r="C10" s="11">
        <v>46030</v>
      </c>
      <c r="D10"/>
      <c r="E10"/>
      <c r="F10"/>
      <c r="G10"/>
      <c r="H10"/>
      <c r="I10"/>
    </row>
    <row r="11" spans="1:9" x14ac:dyDescent="0.35">
      <c r="C11" s="11">
        <v>46031</v>
      </c>
    </row>
    <row r="12" spans="1:9" x14ac:dyDescent="0.35">
      <c r="A12" s="11">
        <v>46028</v>
      </c>
      <c r="B12" s="1">
        <v>539</v>
      </c>
      <c r="C12" s="11">
        <v>46032</v>
      </c>
      <c r="D12">
        <v>2</v>
      </c>
      <c r="E12">
        <v>1090</v>
      </c>
      <c r="F12">
        <v>0</v>
      </c>
      <c r="G12">
        <v>0</v>
      </c>
      <c r="H12">
        <v>2</v>
      </c>
      <c r="I12">
        <v>1090</v>
      </c>
    </row>
    <row r="13" spans="1:9" x14ac:dyDescent="0.35">
      <c r="C13" s="11">
        <v>46033</v>
      </c>
      <c r="D13"/>
      <c r="E13"/>
      <c r="F13"/>
      <c r="G13"/>
      <c r="H13"/>
      <c r="I13"/>
    </row>
    <row r="14" spans="1:9" x14ac:dyDescent="0.35">
      <c r="C14" s="11">
        <v>46034</v>
      </c>
      <c r="D14"/>
      <c r="E14"/>
      <c r="F14"/>
      <c r="G14"/>
      <c r="H14"/>
      <c r="I14"/>
    </row>
    <row r="15" spans="1:9" x14ac:dyDescent="0.35">
      <c r="C15" s="11">
        <v>46035</v>
      </c>
    </row>
    <row r="16" spans="1:9" x14ac:dyDescent="0.35">
      <c r="A16" s="11">
        <v>46031</v>
      </c>
      <c r="B16" s="1">
        <v>540</v>
      </c>
      <c r="C16" s="11">
        <v>46036</v>
      </c>
      <c r="D16">
        <v>2</v>
      </c>
      <c r="E16">
        <v>1656</v>
      </c>
      <c r="F16">
        <v>0</v>
      </c>
      <c r="G16">
        <v>0</v>
      </c>
      <c r="H16">
        <v>2</v>
      </c>
      <c r="I16">
        <v>1656</v>
      </c>
    </row>
    <row r="17" spans="1:9" x14ac:dyDescent="0.35">
      <c r="A17" s="11">
        <v>46031</v>
      </c>
      <c r="B17" s="1">
        <v>540</v>
      </c>
      <c r="C17" s="11">
        <v>46037</v>
      </c>
      <c r="D17">
        <v>3</v>
      </c>
      <c r="E17">
        <v>2261</v>
      </c>
      <c r="F17">
        <v>0</v>
      </c>
      <c r="G17">
        <v>0</v>
      </c>
      <c r="H17">
        <v>3</v>
      </c>
      <c r="I17">
        <v>2261</v>
      </c>
    </row>
    <row r="18" spans="1:9" x14ac:dyDescent="0.35">
      <c r="C18" s="11">
        <v>46038</v>
      </c>
    </row>
    <row r="19" spans="1:9" x14ac:dyDescent="0.35">
      <c r="C19" s="11">
        <v>46039</v>
      </c>
      <c r="D19"/>
      <c r="E19"/>
      <c r="F19"/>
      <c r="G19"/>
      <c r="H19"/>
      <c r="I19"/>
    </row>
    <row r="20" spans="1:9" x14ac:dyDescent="0.35">
      <c r="C20" s="11">
        <v>46040</v>
      </c>
      <c r="D20"/>
      <c r="E20"/>
      <c r="F20"/>
      <c r="G20"/>
      <c r="H20"/>
      <c r="I20"/>
    </row>
    <row r="21" spans="1:9" x14ac:dyDescent="0.35">
      <c r="C21" s="11">
        <v>46041</v>
      </c>
      <c r="D21"/>
      <c r="E21"/>
      <c r="F21"/>
      <c r="G21"/>
      <c r="H21"/>
      <c r="I21"/>
    </row>
    <row r="22" spans="1:9" x14ac:dyDescent="0.35">
      <c r="A22" s="11">
        <v>46041</v>
      </c>
      <c r="B22" s="1">
        <v>541</v>
      </c>
      <c r="C22" s="11">
        <v>46042</v>
      </c>
      <c r="D22">
        <v>4</v>
      </c>
      <c r="E22">
        <v>3934</v>
      </c>
      <c r="F22">
        <v>0</v>
      </c>
      <c r="G22">
        <v>0</v>
      </c>
      <c r="H22">
        <v>4</v>
      </c>
      <c r="I22">
        <v>3934</v>
      </c>
    </row>
    <row r="23" spans="1:9" x14ac:dyDescent="0.35">
      <c r="A23" s="11">
        <v>46041</v>
      </c>
      <c r="B23" s="1">
        <v>541</v>
      </c>
      <c r="C23" s="11">
        <v>46043</v>
      </c>
      <c r="D23">
        <v>1</v>
      </c>
      <c r="E23">
        <v>791</v>
      </c>
      <c r="F23">
        <v>0</v>
      </c>
      <c r="G23">
        <v>0</v>
      </c>
      <c r="H23">
        <v>1</v>
      </c>
      <c r="I23">
        <v>791</v>
      </c>
    </row>
    <row r="24" spans="1:9" x14ac:dyDescent="0.35">
      <c r="C24" s="11">
        <v>46044</v>
      </c>
      <c r="D24"/>
      <c r="E24"/>
      <c r="F24"/>
      <c r="G24"/>
      <c r="H24"/>
      <c r="I24"/>
    </row>
    <row r="25" spans="1:9" x14ac:dyDescent="0.35">
      <c r="C25" s="11">
        <v>46045</v>
      </c>
      <c r="D25"/>
      <c r="E25"/>
      <c r="F25"/>
      <c r="G25"/>
      <c r="H25"/>
      <c r="I25"/>
    </row>
    <row r="26" spans="1:9" x14ac:dyDescent="0.35">
      <c r="A26" s="11">
        <v>46045</v>
      </c>
      <c r="B26" s="1">
        <v>542</v>
      </c>
      <c r="C26" s="11">
        <v>46046</v>
      </c>
      <c r="D26">
        <v>5</v>
      </c>
      <c r="E26">
        <v>6214</v>
      </c>
      <c r="F26">
        <v>0</v>
      </c>
      <c r="G26">
        <v>0</v>
      </c>
      <c r="H26">
        <v>5</v>
      </c>
      <c r="I26">
        <v>6214</v>
      </c>
    </row>
    <row r="27" spans="1:9" x14ac:dyDescent="0.35">
      <c r="C27" s="11">
        <v>46047</v>
      </c>
      <c r="D27"/>
      <c r="E27"/>
      <c r="F27"/>
      <c r="G27"/>
      <c r="H27"/>
      <c r="I27"/>
    </row>
    <row r="28" spans="1:9" x14ac:dyDescent="0.35">
      <c r="A28" s="11">
        <v>46045</v>
      </c>
      <c r="B28" s="1">
        <v>542</v>
      </c>
      <c r="C28" s="11">
        <v>46048</v>
      </c>
      <c r="D28">
        <v>11</v>
      </c>
      <c r="E28">
        <v>9211</v>
      </c>
      <c r="F28">
        <v>0</v>
      </c>
      <c r="G28">
        <v>0</v>
      </c>
      <c r="H28">
        <v>11</v>
      </c>
      <c r="I28">
        <v>9211</v>
      </c>
    </row>
    <row r="29" spans="1:9" x14ac:dyDescent="0.35">
      <c r="C29" s="11">
        <v>46049</v>
      </c>
      <c r="D29"/>
      <c r="E29"/>
      <c r="F29"/>
      <c r="G29"/>
      <c r="H29"/>
      <c r="I29"/>
    </row>
    <row r="30" spans="1:9" x14ac:dyDescent="0.35">
      <c r="C30" s="11">
        <v>46050</v>
      </c>
      <c r="D30"/>
      <c r="E30"/>
      <c r="F30"/>
      <c r="G30"/>
      <c r="H30"/>
      <c r="I30"/>
    </row>
    <row r="31" spans="1:9" x14ac:dyDescent="0.35">
      <c r="C31" s="11">
        <v>46051</v>
      </c>
    </row>
    <row r="32" spans="1:9" x14ac:dyDescent="0.35">
      <c r="C32" s="11">
        <v>46052</v>
      </c>
      <c r="D32"/>
      <c r="E32"/>
      <c r="F32"/>
      <c r="G32"/>
      <c r="H32"/>
      <c r="I32"/>
    </row>
    <row r="33" spans="1:9" x14ac:dyDescent="0.35">
      <c r="A33" s="11">
        <v>46050</v>
      </c>
      <c r="B33" s="1">
        <v>543</v>
      </c>
      <c r="C33" s="11">
        <v>46053</v>
      </c>
      <c r="D33">
        <v>4</v>
      </c>
      <c r="E33">
        <v>5009</v>
      </c>
      <c r="F33">
        <v>0</v>
      </c>
      <c r="G33">
        <v>0</v>
      </c>
      <c r="H33">
        <v>4</v>
      </c>
      <c r="I33">
        <v>5009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F749-7177-4C76-BA63-2DE3AD6E4F43}">
  <dimension ref="A1:I33"/>
  <sheetViews>
    <sheetView workbookViewId="0">
      <pane ySplit="2" topLeftCell="A21" activePane="bottomLeft" state="frozen"/>
      <selection pane="bottomLeft" activeCell="B30" sqref="B30"/>
    </sheetView>
  </sheetViews>
  <sheetFormatPr defaultRowHeight="14.5" x14ac:dyDescent="0.35"/>
  <cols>
    <col min="1" max="1" width="13.453125" style="11" bestFit="1" customWidth="1"/>
    <col min="2" max="2" width="12.90625" style="1" bestFit="1" customWidth="1"/>
    <col min="3" max="3" width="10.7265625" style="11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17</v>
      </c>
      <c r="E1" s="7">
        <f>E3+E4+E5+E6+E7+E8+E9+E10+E11+E12+E13+E14+E15+E16+E17+E18+E19+E20+E21+E22+E23+E24+E25+E26+E27+E28+E29+E30+E31+E32+E33</f>
        <v>16844.75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17</v>
      </c>
      <c r="I1" s="7">
        <f t="shared" si="0"/>
        <v>16844.75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A4" s="11">
        <v>46018</v>
      </c>
      <c r="B4" s="1">
        <v>431</v>
      </c>
      <c r="C4" s="11">
        <v>46024</v>
      </c>
      <c r="D4">
        <v>7</v>
      </c>
      <c r="E4">
        <v>6926</v>
      </c>
      <c r="F4">
        <v>0</v>
      </c>
      <c r="G4">
        <v>0</v>
      </c>
      <c r="H4">
        <v>7</v>
      </c>
      <c r="I4">
        <v>6926</v>
      </c>
    </row>
    <row r="5" spans="1:9" x14ac:dyDescent="0.35">
      <c r="A5" s="11">
        <v>46021</v>
      </c>
      <c r="B5" s="1">
        <v>432</v>
      </c>
      <c r="C5" s="11">
        <v>46025</v>
      </c>
      <c r="D5">
        <v>1</v>
      </c>
      <c r="E5">
        <v>875</v>
      </c>
      <c r="F5">
        <v>0</v>
      </c>
      <c r="G5">
        <v>0</v>
      </c>
      <c r="H5">
        <v>1</v>
      </c>
      <c r="I5">
        <v>875</v>
      </c>
    </row>
    <row r="6" spans="1:9" x14ac:dyDescent="0.35">
      <c r="C6" s="11">
        <v>46026</v>
      </c>
      <c r="D6"/>
      <c r="E6"/>
      <c r="F6"/>
      <c r="G6"/>
      <c r="H6"/>
      <c r="I6"/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C9" s="11">
        <v>46029</v>
      </c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A16" s="11">
        <v>46031</v>
      </c>
      <c r="B16" s="1">
        <v>433</v>
      </c>
      <c r="C16" s="11">
        <v>46036</v>
      </c>
      <c r="D16">
        <v>2</v>
      </c>
      <c r="E16">
        <v>2310</v>
      </c>
      <c r="F16">
        <v>0</v>
      </c>
      <c r="G16">
        <v>0</v>
      </c>
      <c r="H16">
        <v>2</v>
      </c>
      <c r="I16">
        <v>2310</v>
      </c>
    </row>
    <row r="17" spans="1:9" x14ac:dyDescent="0.35">
      <c r="A17" s="11">
        <v>46031</v>
      </c>
      <c r="B17" s="1">
        <v>433</v>
      </c>
      <c r="C17" s="11">
        <v>46037</v>
      </c>
      <c r="D17">
        <v>2</v>
      </c>
      <c r="E17">
        <v>2072</v>
      </c>
      <c r="F17">
        <v>0</v>
      </c>
      <c r="G17">
        <v>0</v>
      </c>
      <c r="H17">
        <v>2</v>
      </c>
      <c r="I17">
        <v>2072</v>
      </c>
    </row>
    <row r="18" spans="1:9" x14ac:dyDescent="0.35">
      <c r="C18" s="11">
        <v>46038</v>
      </c>
    </row>
    <row r="19" spans="1:9" x14ac:dyDescent="0.35">
      <c r="C19" s="11">
        <v>46039</v>
      </c>
      <c r="D19"/>
      <c r="E19"/>
      <c r="F19"/>
      <c r="G19"/>
      <c r="H19"/>
      <c r="I19"/>
    </row>
    <row r="20" spans="1:9" x14ac:dyDescent="0.35">
      <c r="C20" s="11">
        <v>46040</v>
      </c>
    </row>
    <row r="21" spans="1:9" x14ac:dyDescent="0.35">
      <c r="C21" s="11">
        <v>46041</v>
      </c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</row>
    <row r="27" spans="1:9" x14ac:dyDescent="0.35">
      <c r="C27" s="11">
        <v>46047</v>
      </c>
      <c r="D27"/>
      <c r="E27"/>
      <c r="F27"/>
      <c r="G27"/>
      <c r="H27"/>
      <c r="I27"/>
    </row>
    <row r="28" spans="1:9" x14ac:dyDescent="0.35">
      <c r="C28" s="11">
        <v>46048</v>
      </c>
      <c r="D28"/>
      <c r="E28"/>
      <c r="F28"/>
      <c r="G28"/>
      <c r="H28"/>
      <c r="I28"/>
    </row>
    <row r="29" spans="1:9" x14ac:dyDescent="0.35">
      <c r="C29" s="11">
        <v>46049</v>
      </c>
    </row>
    <row r="30" spans="1:9" x14ac:dyDescent="0.35">
      <c r="A30" s="11">
        <v>46045</v>
      </c>
      <c r="B30" s="1">
        <v>434</v>
      </c>
      <c r="C30" s="11">
        <v>46050</v>
      </c>
      <c r="D30">
        <v>2</v>
      </c>
      <c r="E30">
        <v>1860</v>
      </c>
      <c r="F30">
        <v>0</v>
      </c>
      <c r="G30">
        <v>0</v>
      </c>
      <c r="H30">
        <v>2</v>
      </c>
      <c r="I30">
        <v>1860</v>
      </c>
    </row>
    <row r="31" spans="1:9" x14ac:dyDescent="0.35">
      <c r="C31" s="11">
        <v>46051</v>
      </c>
      <c r="D31"/>
      <c r="E31"/>
      <c r="F31"/>
      <c r="G31"/>
      <c r="H31"/>
      <c r="I31"/>
    </row>
    <row r="32" spans="1:9" x14ac:dyDescent="0.35">
      <c r="A32" s="11">
        <v>46050</v>
      </c>
      <c r="B32" s="1">
        <v>435</v>
      </c>
      <c r="C32" s="11">
        <v>46052</v>
      </c>
      <c r="D32">
        <v>1</v>
      </c>
      <c r="E32">
        <v>918.75</v>
      </c>
      <c r="F32">
        <v>0</v>
      </c>
      <c r="G32">
        <v>0</v>
      </c>
      <c r="H32">
        <v>1</v>
      </c>
      <c r="I32">
        <v>918.75</v>
      </c>
    </row>
    <row r="33" spans="1:9" x14ac:dyDescent="0.35">
      <c r="A33" s="11">
        <v>46050</v>
      </c>
      <c r="B33" s="1">
        <v>435</v>
      </c>
      <c r="C33" s="11">
        <v>46053</v>
      </c>
      <c r="D33">
        <v>2</v>
      </c>
      <c r="E33">
        <v>1883</v>
      </c>
      <c r="F33">
        <v>0</v>
      </c>
      <c r="G33">
        <v>0</v>
      </c>
      <c r="H33">
        <v>2</v>
      </c>
      <c r="I33">
        <v>1883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7EA7-6513-4FC3-9489-D574CBF63A94}">
  <dimension ref="A1:N33"/>
  <sheetViews>
    <sheetView workbookViewId="0">
      <pane ySplit="2" topLeftCell="A25" activePane="bottomLeft" state="frozen"/>
      <selection pane="bottomLeft" activeCell="D32" sqref="D32:I32"/>
    </sheetView>
  </sheetViews>
  <sheetFormatPr defaultRowHeight="14.5" x14ac:dyDescent="0.35"/>
  <cols>
    <col min="1" max="1" width="13.453125" style="11" bestFit="1" customWidth="1"/>
    <col min="2" max="2" width="12.90625" style="1" customWidth="1"/>
    <col min="3" max="3" width="10.7265625" style="10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  <col min="14" max="14" width="10.08984375" bestFit="1" customWidth="1"/>
  </cols>
  <sheetData>
    <row r="1" spans="1:9" x14ac:dyDescent="0.35">
      <c r="D1" s="6">
        <f>D3+D4+D5+D6+D7+D8+D9+D10+D11+D12+D13+D14+D15+D16+D17+D18+D19+D20+D21+D22+D23+D24+D25+D26+D27+D28+D29+D30+D31+TFG!D32+D33</f>
        <v>6</v>
      </c>
      <c r="E1" s="7">
        <f>E3+E4+E5+E6+E7+E8+E9+E10+E11+E12+E13+E14+E15+E16+E17+E18+E19+E20+E21+E22+E23+E24+E25+E26+E27+E28+E29+E30+E31+TFG!E32+E33</f>
        <v>3729</v>
      </c>
      <c r="F1" s="6">
        <f>F3+F4+F5+F6+F7+F8+F9+F10+F11+F12+F13+F14+F15+F16+F17+F18+F19+F20+F21+F22+F23+F24+F25+F26+F27+F28+F29+F30+F31+TFG!F32+F33</f>
        <v>0</v>
      </c>
      <c r="G1" s="7">
        <f>G3+G4+G5+G6+G7+G8+G9+G10+G11+G12+G13+G14+G15+G16+G17+G18+G19+G20+G21+G22+G23+G24+G25+G26+G27+G28+G29+G30+G31+TFG!G32+G33</f>
        <v>0</v>
      </c>
      <c r="H1" s="6">
        <f>H3+H4+H5+H6+H7+H8+H9+H10+H11+H12+H13+H14+H15+H16+H17+H18+H19+H20+H21+H22+H23+H24+H25+H26+H27+H28+H29+H30+H31+TFG!H32+H33</f>
        <v>6</v>
      </c>
      <c r="I1" s="7">
        <f>I3+I4+I5+I6+I7+I8+I9+I10+I11+I12+I13+I14+I15+I16+I17+I18+I19+I20+I21+I22+I23+I24+I25+I26+I27+I28+I29+I30+I31+TFG!I32+I33</f>
        <v>3729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C4" s="11">
        <v>46024</v>
      </c>
      <c r="D4"/>
      <c r="E4"/>
      <c r="F4"/>
      <c r="G4"/>
      <c r="H4"/>
      <c r="I4"/>
    </row>
    <row r="5" spans="1:9" x14ac:dyDescent="0.35">
      <c r="C5" s="11">
        <v>46025</v>
      </c>
    </row>
    <row r="6" spans="1:9" x14ac:dyDescent="0.35">
      <c r="C6" s="11">
        <v>46026</v>
      </c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A9" s="11">
        <v>46024</v>
      </c>
      <c r="B9" s="1">
        <v>306</v>
      </c>
      <c r="C9" s="11">
        <v>46029</v>
      </c>
      <c r="D9">
        <v>2</v>
      </c>
      <c r="E9">
        <v>1143</v>
      </c>
      <c r="F9">
        <v>0</v>
      </c>
      <c r="G9">
        <v>0</v>
      </c>
      <c r="H9">
        <v>2</v>
      </c>
      <c r="I9">
        <v>1143</v>
      </c>
    </row>
    <row r="10" spans="1:9" x14ac:dyDescent="0.35">
      <c r="C10" s="11">
        <v>46030</v>
      </c>
      <c r="D10"/>
      <c r="E10"/>
      <c r="F10"/>
      <c r="G10"/>
      <c r="H10"/>
      <c r="I10"/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  <c r="D14"/>
      <c r="E14"/>
      <c r="F14"/>
      <c r="G14"/>
      <c r="H14"/>
      <c r="I14"/>
    </row>
    <row r="15" spans="1:9" x14ac:dyDescent="0.35">
      <c r="C15" s="11">
        <v>46035</v>
      </c>
    </row>
    <row r="16" spans="1:9" x14ac:dyDescent="0.35">
      <c r="C16" s="11">
        <v>46036</v>
      </c>
    </row>
    <row r="17" spans="1:14" x14ac:dyDescent="0.35">
      <c r="C17" s="11">
        <v>46037</v>
      </c>
    </row>
    <row r="18" spans="1:14" x14ac:dyDescent="0.35">
      <c r="C18" s="11">
        <v>46038</v>
      </c>
    </row>
    <row r="19" spans="1:14" x14ac:dyDescent="0.35">
      <c r="C19" s="11">
        <v>46039</v>
      </c>
    </row>
    <row r="20" spans="1:14" x14ac:dyDescent="0.35">
      <c r="C20" s="11">
        <v>46040</v>
      </c>
      <c r="D20"/>
      <c r="E20"/>
      <c r="F20"/>
      <c r="G20"/>
      <c r="H20"/>
      <c r="I20"/>
    </row>
    <row r="21" spans="1:14" x14ac:dyDescent="0.35">
      <c r="C21" s="11">
        <v>46041</v>
      </c>
    </row>
    <row r="22" spans="1:14" x14ac:dyDescent="0.35">
      <c r="C22" s="11">
        <v>46042</v>
      </c>
    </row>
    <row r="23" spans="1:14" x14ac:dyDescent="0.35">
      <c r="C23" s="11">
        <v>46043</v>
      </c>
    </row>
    <row r="24" spans="1:14" x14ac:dyDescent="0.35">
      <c r="C24" s="11">
        <v>46044</v>
      </c>
    </row>
    <row r="25" spans="1:14" x14ac:dyDescent="0.35">
      <c r="C25" s="11">
        <v>46045</v>
      </c>
    </row>
    <row r="26" spans="1:14" x14ac:dyDescent="0.35">
      <c r="C26" s="11">
        <v>46046</v>
      </c>
    </row>
    <row r="27" spans="1:14" x14ac:dyDescent="0.35">
      <c r="C27" s="11">
        <v>46047</v>
      </c>
    </row>
    <row r="28" spans="1:14" x14ac:dyDescent="0.35">
      <c r="C28" s="11">
        <v>46048</v>
      </c>
    </row>
    <row r="29" spans="1:14" x14ac:dyDescent="0.35">
      <c r="A29" s="11">
        <v>46045</v>
      </c>
      <c r="B29" s="1">
        <v>307</v>
      </c>
      <c r="C29" s="11">
        <v>46049</v>
      </c>
      <c r="D29">
        <v>1</v>
      </c>
      <c r="E29">
        <v>665</v>
      </c>
      <c r="F29">
        <v>0</v>
      </c>
      <c r="G29">
        <v>0</v>
      </c>
      <c r="H29">
        <v>1</v>
      </c>
      <c r="I29">
        <v>665</v>
      </c>
    </row>
    <row r="30" spans="1:14" x14ac:dyDescent="0.35">
      <c r="A30" s="11">
        <v>46045</v>
      </c>
      <c r="B30" s="1">
        <v>307</v>
      </c>
      <c r="C30" s="11">
        <v>46050</v>
      </c>
      <c r="D30">
        <v>1</v>
      </c>
      <c r="E30">
        <v>931</v>
      </c>
      <c r="F30">
        <v>0</v>
      </c>
      <c r="G30">
        <v>0</v>
      </c>
      <c r="H30">
        <v>1</v>
      </c>
      <c r="I30">
        <v>931</v>
      </c>
    </row>
    <row r="31" spans="1:14" x14ac:dyDescent="0.35">
      <c r="A31" s="11">
        <v>46045</v>
      </c>
      <c r="B31" s="1">
        <v>307</v>
      </c>
      <c r="C31" s="11">
        <v>46051</v>
      </c>
      <c r="D31">
        <v>1</v>
      </c>
      <c r="E31">
        <v>665</v>
      </c>
      <c r="F31">
        <v>0</v>
      </c>
      <c r="G31">
        <v>0</v>
      </c>
      <c r="H31">
        <v>1</v>
      </c>
      <c r="I31">
        <v>665</v>
      </c>
      <c r="N31" s="17"/>
    </row>
    <row r="32" spans="1:14" x14ac:dyDescent="0.35">
      <c r="C32" s="11">
        <v>46052</v>
      </c>
    </row>
    <row r="33" spans="3:9" x14ac:dyDescent="0.35">
      <c r="C33" s="11">
        <v>46053</v>
      </c>
      <c r="D33"/>
      <c r="E33"/>
      <c r="F33"/>
      <c r="G33"/>
      <c r="H33"/>
      <c r="I3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6C3F-FBE9-457A-9DAB-2F63EB374051}">
  <dimension ref="A1:P33"/>
  <sheetViews>
    <sheetView workbookViewId="0">
      <pane ySplit="2" topLeftCell="A18" activePane="bottomLeft" state="frozen"/>
      <selection pane="bottomLeft" activeCell="F29" sqref="F29"/>
    </sheetView>
  </sheetViews>
  <sheetFormatPr defaultRowHeight="14.5" x14ac:dyDescent="0.35"/>
  <cols>
    <col min="1" max="1" width="11" style="16" bestFit="1" customWidth="1"/>
    <col min="2" max="2" width="12.90625" style="1" bestFit="1" customWidth="1"/>
    <col min="3" max="3" width="10.7265625" style="11" bestFit="1" customWidth="1"/>
    <col min="4" max="4" width="15.1796875" style="3" bestFit="1" customWidth="1"/>
    <col min="5" max="5" width="18.6328125" style="2" bestFit="1" customWidth="1"/>
    <col min="6" max="6" width="18.453125" style="12" bestFit="1" customWidth="1"/>
    <col min="7" max="7" width="13" style="13" bestFit="1" customWidth="1"/>
    <col min="8" max="8" width="19" style="3" bestFit="1" customWidth="1"/>
    <col min="9" max="9" width="13.54296875" style="2" bestFit="1" customWidth="1"/>
    <col min="14" max="14" width="10.08984375" bestFit="1" customWidth="1"/>
  </cols>
  <sheetData>
    <row r="1" spans="1:16" x14ac:dyDescent="0.35">
      <c r="D1" s="6">
        <f t="shared" ref="D1:I1" si="0">D3+D4+D5+D6+D7+D8+D9+D10+D11+D12+D13+D14+D15+D16+D17+D18+D19+D20+D21+D22+D23+D24+D25+D26+D27+D28+D29+D30+D31+D32+D33</f>
        <v>36</v>
      </c>
      <c r="E1" s="7">
        <f t="shared" si="0"/>
        <v>14944</v>
      </c>
      <c r="F1" s="6">
        <f t="shared" si="0"/>
        <v>0</v>
      </c>
      <c r="G1" s="7">
        <f t="shared" si="0"/>
        <v>0</v>
      </c>
      <c r="H1" s="6">
        <f t="shared" si="0"/>
        <v>36</v>
      </c>
      <c r="I1" s="7">
        <f t="shared" si="0"/>
        <v>14944</v>
      </c>
    </row>
    <row r="2" spans="1:16" x14ac:dyDescent="0.35">
      <c r="A2" s="16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16" x14ac:dyDescent="0.35">
      <c r="C3" s="11">
        <v>46023</v>
      </c>
      <c r="D3"/>
      <c r="E3"/>
      <c r="F3"/>
      <c r="G3"/>
      <c r="H3"/>
      <c r="I3"/>
    </row>
    <row r="4" spans="1:16" x14ac:dyDescent="0.35">
      <c r="A4" s="16">
        <v>46021</v>
      </c>
      <c r="B4" s="1">
        <v>434</v>
      </c>
      <c r="C4" s="11">
        <v>46024</v>
      </c>
      <c r="D4">
        <v>9</v>
      </c>
      <c r="E4">
        <v>3596</v>
      </c>
      <c r="F4">
        <v>0</v>
      </c>
      <c r="G4">
        <v>0</v>
      </c>
      <c r="H4">
        <v>9</v>
      </c>
      <c r="I4">
        <v>3596</v>
      </c>
    </row>
    <row r="5" spans="1:16" x14ac:dyDescent="0.35">
      <c r="C5" s="11">
        <v>46025</v>
      </c>
      <c r="D5"/>
      <c r="E5"/>
      <c r="F5"/>
      <c r="G5"/>
      <c r="H5"/>
      <c r="I5"/>
      <c r="K5" s="27"/>
      <c r="L5" s="27"/>
      <c r="M5" s="27"/>
      <c r="N5" s="27"/>
      <c r="O5" s="27"/>
      <c r="P5" s="28"/>
    </row>
    <row r="6" spans="1:16" x14ac:dyDescent="0.35">
      <c r="C6" s="11">
        <v>46026</v>
      </c>
      <c r="D6"/>
      <c r="E6"/>
      <c r="F6"/>
      <c r="G6"/>
      <c r="H6"/>
      <c r="I6"/>
    </row>
    <row r="7" spans="1:16" x14ac:dyDescent="0.35">
      <c r="A7" s="16">
        <v>46021</v>
      </c>
      <c r="B7" s="1">
        <v>434</v>
      </c>
      <c r="C7" s="11">
        <v>46027</v>
      </c>
      <c r="D7">
        <v>2</v>
      </c>
      <c r="E7">
        <v>650</v>
      </c>
      <c r="F7">
        <v>0</v>
      </c>
      <c r="G7">
        <v>0</v>
      </c>
      <c r="H7">
        <v>2</v>
      </c>
      <c r="I7">
        <v>650</v>
      </c>
    </row>
    <row r="8" spans="1:16" x14ac:dyDescent="0.35">
      <c r="A8" s="16">
        <v>46024</v>
      </c>
      <c r="B8" s="1">
        <v>435</v>
      </c>
      <c r="C8" s="11">
        <v>46028</v>
      </c>
      <c r="D8">
        <v>1</v>
      </c>
      <c r="E8">
        <v>385</v>
      </c>
      <c r="F8">
        <v>0</v>
      </c>
      <c r="G8">
        <v>0</v>
      </c>
      <c r="H8">
        <v>1</v>
      </c>
      <c r="I8">
        <v>385</v>
      </c>
    </row>
    <row r="9" spans="1:16" x14ac:dyDescent="0.35">
      <c r="A9" s="16">
        <v>46024</v>
      </c>
      <c r="B9" s="1">
        <v>435</v>
      </c>
      <c r="C9" s="11">
        <v>46029</v>
      </c>
      <c r="D9">
        <v>3</v>
      </c>
      <c r="E9">
        <v>1035</v>
      </c>
      <c r="F9">
        <v>0</v>
      </c>
      <c r="G9">
        <v>0</v>
      </c>
      <c r="H9">
        <v>3</v>
      </c>
      <c r="I9">
        <v>1035</v>
      </c>
    </row>
    <row r="10" spans="1:16" x14ac:dyDescent="0.35">
      <c r="C10" s="11">
        <v>46030</v>
      </c>
      <c r="D10"/>
      <c r="E10"/>
      <c r="F10"/>
      <c r="G10"/>
      <c r="H10"/>
      <c r="I10"/>
    </row>
    <row r="11" spans="1:16" x14ac:dyDescent="0.35">
      <c r="C11" s="11">
        <v>46031</v>
      </c>
      <c r="D11"/>
      <c r="E11"/>
      <c r="F11"/>
      <c r="G11"/>
      <c r="H11"/>
      <c r="I11"/>
    </row>
    <row r="12" spans="1:16" x14ac:dyDescent="0.35">
      <c r="C12" s="11">
        <v>46032</v>
      </c>
    </row>
    <row r="13" spans="1:16" x14ac:dyDescent="0.35">
      <c r="C13" s="11">
        <v>46033</v>
      </c>
      <c r="D13"/>
      <c r="E13"/>
      <c r="F13"/>
      <c r="G13"/>
      <c r="H13"/>
      <c r="I13"/>
    </row>
    <row r="14" spans="1:16" x14ac:dyDescent="0.35">
      <c r="C14" s="11">
        <v>46034</v>
      </c>
    </row>
    <row r="15" spans="1:16" x14ac:dyDescent="0.35">
      <c r="C15" s="11">
        <v>46035</v>
      </c>
      <c r="D15"/>
      <c r="E15"/>
      <c r="F15"/>
      <c r="G15"/>
      <c r="H15"/>
      <c r="I15"/>
    </row>
    <row r="16" spans="1:16" x14ac:dyDescent="0.35">
      <c r="C16" s="11">
        <v>46036</v>
      </c>
    </row>
    <row r="17" spans="1:9" x14ac:dyDescent="0.35">
      <c r="A17" s="16">
        <v>46031</v>
      </c>
      <c r="B17" s="1">
        <v>436</v>
      </c>
      <c r="C17" s="11">
        <v>46037</v>
      </c>
      <c r="D17">
        <v>1</v>
      </c>
      <c r="E17">
        <v>325</v>
      </c>
      <c r="F17">
        <v>0</v>
      </c>
      <c r="G17">
        <v>0</v>
      </c>
      <c r="H17">
        <v>1</v>
      </c>
      <c r="I17">
        <v>325</v>
      </c>
    </row>
    <row r="18" spans="1:9" x14ac:dyDescent="0.35">
      <c r="C18" s="11">
        <v>46038</v>
      </c>
    </row>
    <row r="19" spans="1:9" x14ac:dyDescent="0.35">
      <c r="C19" s="11">
        <v>46039</v>
      </c>
      <c r="D19"/>
      <c r="E19"/>
      <c r="F19"/>
      <c r="G19"/>
      <c r="H19"/>
      <c r="I19"/>
    </row>
    <row r="20" spans="1:9" x14ac:dyDescent="0.35">
      <c r="C20" s="11">
        <v>46040</v>
      </c>
    </row>
    <row r="21" spans="1:9" x14ac:dyDescent="0.35">
      <c r="C21" s="11">
        <v>46041</v>
      </c>
      <c r="D21"/>
      <c r="E21"/>
      <c r="F21"/>
      <c r="G21"/>
      <c r="H21"/>
      <c r="I21"/>
    </row>
    <row r="22" spans="1:9" x14ac:dyDescent="0.35">
      <c r="C22" s="11">
        <v>46042</v>
      </c>
      <c r="D22"/>
      <c r="E22"/>
      <c r="F22"/>
      <c r="G22"/>
      <c r="H22"/>
      <c r="I22"/>
    </row>
    <row r="23" spans="1:9" x14ac:dyDescent="0.35">
      <c r="C23" s="11">
        <v>46043</v>
      </c>
      <c r="D23"/>
      <c r="E23"/>
      <c r="F23"/>
      <c r="G23"/>
      <c r="H23"/>
      <c r="I23"/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A26" s="16">
        <v>46045</v>
      </c>
      <c r="B26" s="1">
        <v>438</v>
      </c>
      <c r="C26" s="11">
        <v>46046</v>
      </c>
      <c r="D26">
        <v>1</v>
      </c>
      <c r="E26">
        <v>385</v>
      </c>
      <c r="F26">
        <v>0</v>
      </c>
      <c r="G26">
        <v>0</v>
      </c>
      <c r="H26">
        <v>1</v>
      </c>
      <c r="I26">
        <v>385</v>
      </c>
    </row>
    <row r="27" spans="1:9" x14ac:dyDescent="0.35">
      <c r="C27" s="11">
        <v>46047</v>
      </c>
      <c r="D27"/>
      <c r="E27"/>
      <c r="F27"/>
      <c r="G27"/>
      <c r="H27"/>
      <c r="I27"/>
    </row>
    <row r="28" spans="1:9" x14ac:dyDescent="0.35">
      <c r="A28" s="16">
        <v>46045</v>
      </c>
      <c r="B28" s="1">
        <v>438</v>
      </c>
      <c r="C28" s="11">
        <v>46048</v>
      </c>
      <c r="D28">
        <v>4</v>
      </c>
      <c r="E28">
        <v>2234</v>
      </c>
      <c r="F28">
        <v>0</v>
      </c>
      <c r="G28">
        <v>0</v>
      </c>
      <c r="H28">
        <v>4</v>
      </c>
      <c r="I28">
        <v>2234</v>
      </c>
    </row>
    <row r="29" spans="1:9" x14ac:dyDescent="0.35">
      <c r="A29" s="16">
        <v>46045</v>
      </c>
      <c r="B29" s="1">
        <v>438</v>
      </c>
      <c r="C29" s="11">
        <v>46049</v>
      </c>
      <c r="D29">
        <v>6</v>
      </c>
      <c r="E29">
        <v>3111</v>
      </c>
      <c r="F29">
        <v>0</v>
      </c>
      <c r="G29">
        <v>0</v>
      </c>
      <c r="H29">
        <v>6</v>
      </c>
      <c r="I29">
        <v>3111</v>
      </c>
    </row>
    <row r="30" spans="1:9" x14ac:dyDescent="0.35">
      <c r="A30" s="16">
        <v>46045</v>
      </c>
      <c r="B30" s="1">
        <v>438</v>
      </c>
      <c r="C30" s="11">
        <v>46050</v>
      </c>
      <c r="D30">
        <v>3</v>
      </c>
      <c r="E30">
        <v>975</v>
      </c>
      <c r="F30">
        <v>0</v>
      </c>
      <c r="G30">
        <v>0</v>
      </c>
      <c r="H30">
        <v>3</v>
      </c>
      <c r="I30">
        <v>975</v>
      </c>
    </row>
    <row r="31" spans="1:9" x14ac:dyDescent="0.35">
      <c r="C31" s="11">
        <v>46051</v>
      </c>
      <c r="D31"/>
      <c r="E31"/>
      <c r="F31"/>
      <c r="G31"/>
      <c r="H31"/>
      <c r="I31"/>
    </row>
    <row r="32" spans="1:9" x14ac:dyDescent="0.35">
      <c r="A32" s="16">
        <v>46050</v>
      </c>
      <c r="B32" s="1">
        <v>441</v>
      </c>
      <c r="C32" s="11">
        <v>46052</v>
      </c>
      <c r="D32">
        <v>3</v>
      </c>
      <c r="E32">
        <v>890</v>
      </c>
      <c r="F32">
        <v>0</v>
      </c>
      <c r="G32">
        <v>0</v>
      </c>
      <c r="H32">
        <v>3</v>
      </c>
      <c r="I32">
        <v>890</v>
      </c>
    </row>
    <row r="33" spans="1:9" x14ac:dyDescent="0.35">
      <c r="A33" s="16">
        <v>46050</v>
      </c>
      <c r="B33" s="1">
        <v>441</v>
      </c>
      <c r="C33" s="11">
        <v>46053</v>
      </c>
      <c r="D33">
        <v>3</v>
      </c>
      <c r="E33">
        <v>1358</v>
      </c>
      <c r="F33">
        <v>0</v>
      </c>
      <c r="G33">
        <v>0</v>
      </c>
      <c r="H33">
        <v>3</v>
      </c>
      <c r="I33">
        <v>1358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3008-9D28-48A9-9632-16AAC45859A2}">
  <dimension ref="A1:I33"/>
  <sheetViews>
    <sheetView workbookViewId="0">
      <pane ySplit="2" topLeftCell="A21" activePane="bottomLeft" state="frozen"/>
      <selection pane="bottomLeft" activeCell="B32" sqref="B32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</v>
      </c>
      <c r="E1" s="7">
        <f>E3+E4+E5+E6+E7+E8+E9+E10+E11+E12+E13+E14+E15+E16+E17+E18+E19+E20+E21+E22+E23+E24+E25+E26+E27+E28+E29+E30+E31+E32+E33</f>
        <v>665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</v>
      </c>
      <c r="I1" s="7">
        <f t="shared" si="0"/>
        <v>665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45988</v>
      </c>
      <c r="B3" s="1">
        <v>60</v>
      </c>
      <c r="C3" s="11">
        <v>46023</v>
      </c>
      <c r="D3"/>
      <c r="E3"/>
      <c r="F3"/>
      <c r="G3"/>
      <c r="H3"/>
      <c r="I3"/>
    </row>
    <row r="4" spans="1:9" x14ac:dyDescent="0.35">
      <c r="C4" s="11">
        <v>46024</v>
      </c>
    </row>
    <row r="5" spans="1:9" x14ac:dyDescent="0.35">
      <c r="C5" s="11">
        <v>46025</v>
      </c>
    </row>
    <row r="6" spans="1:9" x14ac:dyDescent="0.35">
      <c r="C6" s="11">
        <v>46026</v>
      </c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C9" s="11">
        <v>46029</v>
      </c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C17" s="11">
        <v>46037</v>
      </c>
    </row>
    <row r="18" spans="1:9" x14ac:dyDescent="0.35">
      <c r="C18" s="11">
        <v>46038</v>
      </c>
    </row>
    <row r="19" spans="1:9" x14ac:dyDescent="0.35">
      <c r="C19" s="11">
        <v>46039</v>
      </c>
    </row>
    <row r="20" spans="1:9" x14ac:dyDescent="0.35">
      <c r="C20" s="11">
        <v>46040</v>
      </c>
    </row>
    <row r="21" spans="1:9" x14ac:dyDescent="0.35">
      <c r="C21" s="11">
        <v>46041</v>
      </c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</row>
    <row r="27" spans="1:9" x14ac:dyDescent="0.35">
      <c r="C27" s="11">
        <v>46047</v>
      </c>
    </row>
    <row r="28" spans="1:9" x14ac:dyDescent="0.35">
      <c r="C28" s="11">
        <v>46048</v>
      </c>
    </row>
    <row r="29" spans="1:9" x14ac:dyDescent="0.35">
      <c r="C29" s="11">
        <v>46049</v>
      </c>
    </row>
    <row r="30" spans="1:9" x14ac:dyDescent="0.35">
      <c r="C30" s="11">
        <v>46050</v>
      </c>
    </row>
    <row r="31" spans="1:9" x14ac:dyDescent="0.35">
      <c r="C31" s="11">
        <v>46051</v>
      </c>
    </row>
    <row r="32" spans="1:9" x14ac:dyDescent="0.35">
      <c r="A32" s="11">
        <v>46050</v>
      </c>
      <c r="B32" s="1">
        <v>62</v>
      </c>
      <c r="C32" s="11">
        <v>46052</v>
      </c>
      <c r="D32">
        <v>1</v>
      </c>
      <c r="E32">
        <v>665</v>
      </c>
      <c r="F32">
        <v>0</v>
      </c>
      <c r="G32">
        <v>0</v>
      </c>
      <c r="H32">
        <v>1</v>
      </c>
      <c r="I32">
        <v>665</v>
      </c>
    </row>
    <row r="33" spans="3:3" x14ac:dyDescent="0.35">
      <c r="C33" s="11">
        <v>46053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B16F-8F1E-484B-9C5E-6580BE8073DF}">
  <dimension ref="A1:P33"/>
  <sheetViews>
    <sheetView workbookViewId="0">
      <pane ySplit="2" topLeftCell="A18" activePane="bottomLeft" state="frozen"/>
      <selection pane="bottomLeft" activeCell="A33" sqref="A33:B33"/>
    </sheetView>
  </sheetViews>
  <sheetFormatPr defaultRowHeight="14.5" x14ac:dyDescent="0.35"/>
  <cols>
    <col min="1" max="1" width="13.453125" style="11" customWidth="1"/>
    <col min="2" max="2" width="13.453125" style="1" bestFit="1" customWidth="1"/>
    <col min="3" max="3" width="11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  <col min="13" max="13" width="12.08984375" bestFit="1" customWidth="1"/>
    <col min="14" max="14" width="10.08984375" bestFit="1" customWidth="1"/>
    <col min="15" max="15" width="11.08984375" bestFit="1" customWidth="1"/>
  </cols>
  <sheetData>
    <row r="1" spans="1:16" x14ac:dyDescent="0.35">
      <c r="D1" s="6">
        <f>D3+D4+D5+D6+D7+D8+D9+D10+D11+D12+D13+D14+D15+D16+D17+D18+D19+D20+D21+D22+D23+D24+D25+D26+D27+D28+D31+D32+D33+D29+D30</f>
        <v>716</v>
      </c>
      <c r="E1" s="7">
        <f>E3+E4+E5+E6+E7+E8+E9+E10+E11+E12+E13+E14+E15+E16+E17+E18+E19+E20+E21+E22+E23+E24+E25+E26+E27+E28+E31+E32+E33+E29+E30</f>
        <v>738011.5</v>
      </c>
      <c r="F1" s="7">
        <f t="shared" ref="F1:I1" si="0">F3+F4+F5+F6+F7+F8+F9+F10+F11+F12+F13+F14+F15+F16+F17+F18+F19+F20+F21+F22+F23+F24+F25+F26+F27+F28+F31+F32+F33+F29+F30</f>
        <v>0</v>
      </c>
      <c r="G1" s="7">
        <f t="shared" si="0"/>
        <v>0</v>
      </c>
      <c r="H1" s="7">
        <f t="shared" si="0"/>
        <v>716</v>
      </c>
      <c r="I1" s="7">
        <f t="shared" si="0"/>
        <v>738011.5</v>
      </c>
    </row>
    <row r="2" spans="1:16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16" x14ac:dyDescent="0.35">
      <c r="C3" s="11">
        <v>46023</v>
      </c>
      <c r="D3"/>
      <c r="E3"/>
      <c r="F3"/>
      <c r="G3"/>
      <c r="H3"/>
      <c r="I3"/>
    </row>
    <row r="4" spans="1:16" x14ac:dyDescent="0.35">
      <c r="A4" s="11">
        <v>46018</v>
      </c>
      <c r="B4" s="1" t="s">
        <v>44</v>
      </c>
      <c r="C4" s="11">
        <v>46024</v>
      </c>
      <c r="D4">
        <v>276</v>
      </c>
      <c r="E4">
        <v>288531.5</v>
      </c>
      <c r="F4">
        <v>0</v>
      </c>
      <c r="G4">
        <v>0</v>
      </c>
      <c r="H4">
        <v>276</v>
      </c>
      <c r="I4">
        <v>288531.5</v>
      </c>
    </row>
    <row r="5" spans="1:16" x14ac:dyDescent="0.35">
      <c r="A5" s="11">
        <v>46021</v>
      </c>
      <c r="B5" s="1">
        <v>584</v>
      </c>
      <c r="C5" s="11">
        <v>46025</v>
      </c>
      <c r="D5">
        <v>29</v>
      </c>
      <c r="E5">
        <v>32278</v>
      </c>
      <c r="F5">
        <v>0</v>
      </c>
      <c r="G5">
        <v>0</v>
      </c>
      <c r="H5">
        <v>29</v>
      </c>
      <c r="I5">
        <v>32278</v>
      </c>
      <c r="K5" s="27"/>
      <c r="L5" s="27"/>
      <c r="M5" s="27"/>
      <c r="N5" s="27"/>
      <c r="O5" s="27"/>
      <c r="P5" s="28"/>
    </row>
    <row r="6" spans="1:16" x14ac:dyDescent="0.35">
      <c r="C6" s="11">
        <v>46026</v>
      </c>
      <c r="D6"/>
      <c r="E6"/>
      <c r="F6"/>
      <c r="G6"/>
      <c r="H6"/>
      <c r="I6"/>
    </row>
    <row r="7" spans="1:16" x14ac:dyDescent="0.35">
      <c r="A7" s="11">
        <v>46021</v>
      </c>
      <c r="B7" s="1">
        <v>584</v>
      </c>
      <c r="C7" s="11">
        <v>46027</v>
      </c>
      <c r="D7">
        <v>25</v>
      </c>
      <c r="E7">
        <v>22746</v>
      </c>
      <c r="F7">
        <v>0</v>
      </c>
      <c r="G7">
        <v>0</v>
      </c>
      <c r="H7">
        <v>25</v>
      </c>
      <c r="I7">
        <v>22746</v>
      </c>
    </row>
    <row r="8" spans="1:16" x14ac:dyDescent="0.35">
      <c r="A8" s="11">
        <v>46024</v>
      </c>
      <c r="B8" s="1">
        <v>585</v>
      </c>
      <c r="C8" s="11">
        <v>46028</v>
      </c>
      <c r="D8">
        <v>7</v>
      </c>
      <c r="E8">
        <v>6581</v>
      </c>
      <c r="F8">
        <v>0</v>
      </c>
      <c r="G8">
        <v>0</v>
      </c>
      <c r="H8">
        <v>7</v>
      </c>
      <c r="I8">
        <v>6581</v>
      </c>
    </row>
    <row r="9" spans="1:16" x14ac:dyDescent="0.35">
      <c r="A9" s="11">
        <v>46024</v>
      </c>
      <c r="B9" s="1">
        <v>585</v>
      </c>
      <c r="C9" s="11">
        <v>46029</v>
      </c>
      <c r="D9">
        <v>55</v>
      </c>
      <c r="E9">
        <v>53667</v>
      </c>
      <c r="F9">
        <v>0</v>
      </c>
      <c r="G9">
        <v>0</v>
      </c>
      <c r="H9">
        <v>55</v>
      </c>
      <c r="I9">
        <v>53667</v>
      </c>
    </row>
    <row r="10" spans="1:16" x14ac:dyDescent="0.35">
      <c r="A10" s="11">
        <v>46024</v>
      </c>
      <c r="B10" s="1">
        <v>585</v>
      </c>
      <c r="C10" s="11">
        <v>46030</v>
      </c>
      <c r="D10">
        <v>2</v>
      </c>
      <c r="E10">
        <v>965</v>
      </c>
      <c r="F10">
        <v>0</v>
      </c>
      <c r="G10">
        <v>0</v>
      </c>
      <c r="H10">
        <v>2</v>
      </c>
      <c r="I10">
        <v>965</v>
      </c>
    </row>
    <row r="11" spans="1:16" x14ac:dyDescent="0.35">
      <c r="A11" s="11">
        <v>46028</v>
      </c>
      <c r="B11" s="1">
        <v>586</v>
      </c>
      <c r="C11" s="11">
        <v>46031</v>
      </c>
      <c r="D11">
        <v>1</v>
      </c>
      <c r="E11">
        <v>985</v>
      </c>
      <c r="F11">
        <v>0</v>
      </c>
      <c r="G11">
        <v>0</v>
      </c>
      <c r="H11">
        <v>1</v>
      </c>
      <c r="I11">
        <v>985</v>
      </c>
      <c r="O11" s="17"/>
    </row>
    <row r="12" spans="1:16" x14ac:dyDescent="0.35">
      <c r="A12" s="11">
        <v>46028</v>
      </c>
      <c r="B12" s="1">
        <v>586</v>
      </c>
      <c r="C12" s="11">
        <v>46032</v>
      </c>
      <c r="D12">
        <v>3</v>
      </c>
      <c r="E12">
        <v>3251</v>
      </c>
      <c r="F12">
        <v>0</v>
      </c>
      <c r="G12">
        <v>0</v>
      </c>
      <c r="H12">
        <v>3</v>
      </c>
      <c r="I12">
        <v>3251</v>
      </c>
    </row>
    <row r="13" spans="1:16" x14ac:dyDescent="0.35">
      <c r="C13" s="11">
        <v>46033</v>
      </c>
      <c r="D13"/>
      <c r="E13"/>
      <c r="F13"/>
      <c r="G13"/>
      <c r="H13"/>
      <c r="I13"/>
    </row>
    <row r="14" spans="1:16" x14ac:dyDescent="0.35">
      <c r="A14" s="11">
        <v>46028</v>
      </c>
      <c r="B14" s="1">
        <v>586</v>
      </c>
      <c r="C14" s="11">
        <v>46034</v>
      </c>
      <c r="D14">
        <v>3</v>
      </c>
      <c r="E14">
        <v>2671</v>
      </c>
      <c r="F14">
        <v>0</v>
      </c>
      <c r="G14">
        <v>0</v>
      </c>
      <c r="H14">
        <v>3</v>
      </c>
      <c r="I14">
        <v>2671</v>
      </c>
    </row>
    <row r="15" spans="1:16" x14ac:dyDescent="0.35">
      <c r="C15" s="11">
        <v>46035</v>
      </c>
      <c r="D15"/>
      <c r="E15"/>
      <c r="F15"/>
      <c r="G15"/>
      <c r="H15"/>
      <c r="I15"/>
    </row>
    <row r="16" spans="1:16" x14ac:dyDescent="0.35">
      <c r="A16" s="11">
        <v>46031</v>
      </c>
      <c r="B16" s="1">
        <v>587</v>
      </c>
      <c r="C16" s="11">
        <v>46036</v>
      </c>
      <c r="D16">
        <v>10</v>
      </c>
      <c r="E16">
        <v>8894</v>
      </c>
      <c r="F16">
        <v>0</v>
      </c>
      <c r="G16">
        <v>0</v>
      </c>
      <c r="H16">
        <v>10</v>
      </c>
      <c r="I16">
        <v>8894</v>
      </c>
    </row>
    <row r="17" spans="1:14" x14ac:dyDescent="0.35">
      <c r="A17" s="11">
        <v>46031</v>
      </c>
      <c r="B17" s="1">
        <v>587</v>
      </c>
      <c r="C17" s="11">
        <v>46037</v>
      </c>
      <c r="D17">
        <v>23</v>
      </c>
      <c r="E17">
        <v>27454</v>
      </c>
      <c r="F17">
        <v>0</v>
      </c>
      <c r="G17">
        <v>0</v>
      </c>
      <c r="H17">
        <v>23</v>
      </c>
      <c r="I17">
        <v>27454</v>
      </c>
    </row>
    <row r="18" spans="1:14" x14ac:dyDescent="0.35">
      <c r="A18" s="11">
        <v>46035</v>
      </c>
      <c r="B18" s="1">
        <v>588</v>
      </c>
      <c r="C18" s="11">
        <v>46038</v>
      </c>
      <c r="D18">
        <v>4</v>
      </c>
      <c r="E18">
        <v>4821</v>
      </c>
      <c r="F18">
        <v>0</v>
      </c>
      <c r="G18">
        <v>0</v>
      </c>
      <c r="H18">
        <v>4</v>
      </c>
      <c r="I18">
        <v>4821</v>
      </c>
    </row>
    <row r="19" spans="1:14" x14ac:dyDescent="0.35">
      <c r="A19" s="11">
        <v>46035</v>
      </c>
      <c r="B19" s="1">
        <v>588</v>
      </c>
      <c r="C19" s="11">
        <v>46039</v>
      </c>
      <c r="D19">
        <v>2</v>
      </c>
      <c r="E19">
        <v>1650</v>
      </c>
      <c r="F19">
        <v>0</v>
      </c>
      <c r="G19">
        <v>0</v>
      </c>
      <c r="H19">
        <v>2</v>
      </c>
      <c r="I19">
        <v>1650</v>
      </c>
    </row>
    <row r="20" spans="1:14" x14ac:dyDescent="0.35">
      <c r="C20" s="11">
        <v>46040</v>
      </c>
      <c r="D20"/>
      <c r="E20"/>
      <c r="F20"/>
      <c r="G20"/>
      <c r="H20"/>
      <c r="I20"/>
    </row>
    <row r="21" spans="1:14" x14ac:dyDescent="0.35">
      <c r="C21" s="11">
        <v>46041</v>
      </c>
      <c r="D21"/>
      <c r="E21"/>
      <c r="F21"/>
      <c r="G21"/>
      <c r="H21"/>
      <c r="I21"/>
    </row>
    <row r="22" spans="1:14" x14ac:dyDescent="0.35">
      <c r="A22" s="11">
        <v>46041</v>
      </c>
      <c r="B22" s="1">
        <v>589</v>
      </c>
      <c r="C22" s="11">
        <v>46042</v>
      </c>
      <c r="D22">
        <v>5</v>
      </c>
      <c r="E22">
        <v>3821</v>
      </c>
      <c r="F22">
        <v>0</v>
      </c>
      <c r="G22">
        <v>0</v>
      </c>
      <c r="H22">
        <v>5</v>
      </c>
      <c r="I22">
        <v>3821</v>
      </c>
    </row>
    <row r="23" spans="1:14" x14ac:dyDescent="0.35">
      <c r="A23" s="11">
        <v>46041</v>
      </c>
      <c r="B23" s="1">
        <v>589</v>
      </c>
      <c r="C23" s="11">
        <v>46043</v>
      </c>
      <c r="D23">
        <v>6</v>
      </c>
      <c r="E23">
        <v>5238</v>
      </c>
      <c r="F23">
        <v>0</v>
      </c>
      <c r="G23">
        <v>0</v>
      </c>
      <c r="H23">
        <v>6</v>
      </c>
      <c r="I23">
        <v>5238</v>
      </c>
    </row>
    <row r="24" spans="1:14" x14ac:dyDescent="0.35">
      <c r="A24" s="11">
        <v>46041</v>
      </c>
      <c r="B24" s="1">
        <v>589</v>
      </c>
      <c r="C24" s="11">
        <v>46044</v>
      </c>
      <c r="D24">
        <v>2</v>
      </c>
      <c r="E24">
        <v>1540</v>
      </c>
      <c r="F24">
        <v>0</v>
      </c>
      <c r="G24">
        <v>0</v>
      </c>
      <c r="H24">
        <v>2</v>
      </c>
      <c r="I24">
        <v>1540</v>
      </c>
      <c r="N24" s="17"/>
    </row>
    <row r="25" spans="1:14" x14ac:dyDescent="0.35">
      <c r="C25" s="11">
        <v>46045</v>
      </c>
      <c r="D25"/>
      <c r="E25"/>
      <c r="F25"/>
      <c r="G25"/>
      <c r="H25"/>
      <c r="I25"/>
    </row>
    <row r="26" spans="1:14" x14ac:dyDescent="0.35">
      <c r="A26" s="11">
        <v>46045</v>
      </c>
      <c r="B26" s="1">
        <v>590</v>
      </c>
      <c r="C26" s="11">
        <v>46046</v>
      </c>
      <c r="D26">
        <v>18</v>
      </c>
      <c r="E26">
        <v>17370</v>
      </c>
      <c r="F26">
        <v>0</v>
      </c>
      <c r="G26">
        <v>0</v>
      </c>
      <c r="H26">
        <v>18</v>
      </c>
      <c r="I26">
        <v>17370</v>
      </c>
    </row>
    <row r="27" spans="1:14" x14ac:dyDescent="0.35">
      <c r="C27" s="11">
        <v>46047</v>
      </c>
      <c r="D27"/>
      <c r="E27"/>
      <c r="F27"/>
      <c r="G27"/>
      <c r="H27"/>
      <c r="I27"/>
    </row>
    <row r="28" spans="1:14" x14ac:dyDescent="0.35">
      <c r="A28" s="11">
        <v>46045</v>
      </c>
      <c r="B28" s="1">
        <v>590</v>
      </c>
      <c r="C28" s="11">
        <v>46048</v>
      </c>
      <c r="D28">
        <v>87</v>
      </c>
      <c r="E28">
        <v>93044</v>
      </c>
      <c r="F28">
        <v>0</v>
      </c>
      <c r="G28">
        <v>0</v>
      </c>
      <c r="H28">
        <v>87</v>
      </c>
      <c r="I28">
        <v>93044</v>
      </c>
      <c r="M28" s="17"/>
    </row>
    <row r="29" spans="1:14" x14ac:dyDescent="0.35">
      <c r="A29" s="11">
        <v>46045</v>
      </c>
      <c r="B29" s="1">
        <v>590</v>
      </c>
      <c r="C29" s="11">
        <v>46049</v>
      </c>
      <c r="D29">
        <v>20</v>
      </c>
      <c r="E29">
        <v>21578</v>
      </c>
      <c r="F29">
        <v>0</v>
      </c>
      <c r="G29">
        <v>0</v>
      </c>
      <c r="H29">
        <v>20</v>
      </c>
      <c r="I29">
        <v>21578</v>
      </c>
    </row>
    <row r="30" spans="1:14" x14ac:dyDescent="0.35">
      <c r="A30" s="11">
        <v>46045</v>
      </c>
      <c r="B30" s="1">
        <v>590</v>
      </c>
      <c r="C30" s="11">
        <v>46050</v>
      </c>
      <c r="D30">
        <v>23</v>
      </c>
      <c r="E30">
        <v>21821</v>
      </c>
      <c r="F30">
        <v>0</v>
      </c>
      <c r="G30">
        <v>0</v>
      </c>
      <c r="H30">
        <v>23</v>
      </c>
      <c r="I30">
        <v>21821</v>
      </c>
    </row>
    <row r="31" spans="1:14" x14ac:dyDescent="0.35">
      <c r="A31" s="11">
        <v>46045</v>
      </c>
      <c r="B31" s="1">
        <v>590</v>
      </c>
      <c r="C31" s="11">
        <v>46051</v>
      </c>
      <c r="D31">
        <v>5</v>
      </c>
      <c r="E31">
        <v>5177</v>
      </c>
      <c r="F31">
        <v>0</v>
      </c>
      <c r="G31">
        <v>0</v>
      </c>
      <c r="H31">
        <v>5</v>
      </c>
      <c r="I31">
        <v>5177</v>
      </c>
    </row>
    <row r="32" spans="1:14" x14ac:dyDescent="0.35">
      <c r="A32" s="11">
        <v>46050</v>
      </c>
      <c r="B32" s="1">
        <v>591</v>
      </c>
      <c r="C32" s="11">
        <v>46052</v>
      </c>
      <c r="D32">
        <v>42</v>
      </c>
      <c r="E32">
        <v>39069</v>
      </c>
      <c r="F32">
        <v>0</v>
      </c>
      <c r="G32">
        <v>0</v>
      </c>
      <c r="H32">
        <v>42</v>
      </c>
      <c r="I32">
        <v>39069</v>
      </c>
    </row>
    <row r="33" spans="1:9" x14ac:dyDescent="0.35">
      <c r="A33" s="11">
        <v>46050</v>
      </c>
      <c r="B33" s="1">
        <v>591</v>
      </c>
      <c r="C33" s="11">
        <v>46053</v>
      </c>
      <c r="D33">
        <v>68</v>
      </c>
      <c r="E33">
        <v>74859</v>
      </c>
      <c r="F33">
        <v>0</v>
      </c>
      <c r="G33">
        <v>0</v>
      </c>
      <c r="H33">
        <v>68</v>
      </c>
      <c r="I33">
        <v>74859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F882-423B-442A-8FF3-24B97055F457}">
  <dimension ref="A1:I33"/>
  <sheetViews>
    <sheetView topLeftCell="A10" workbookViewId="0">
      <selection activeCell="C3" sqref="C3:C33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0</v>
      </c>
      <c r="E1" s="7">
        <f>E3+E4+E5+E6+E7+E8+E9+E10+E11+E12+E13+E14+E15+E16+E17+E18+E19+E20+E21+E22+E23+E24+E25+E26+E27+E28+E29+E30+E31+E32+E33</f>
        <v>0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0</v>
      </c>
      <c r="I1" s="7">
        <f t="shared" si="0"/>
        <v>0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45868</v>
      </c>
      <c r="B3" s="1">
        <v>76</v>
      </c>
      <c r="C3" s="11">
        <v>46023</v>
      </c>
      <c r="D3"/>
      <c r="E3"/>
      <c r="F3"/>
      <c r="G3"/>
      <c r="H3"/>
      <c r="I3"/>
    </row>
    <row r="4" spans="1:9" x14ac:dyDescent="0.35">
      <c r="C4" s="11">
        <v>46024</v>
      </c>
      <c r="D4"/>
      <c r="E4"/>
      <c r="F4"/>
      <c r="G4"/>
      <c r="H4"/>
      <c r="I4"/>
    </row>
    <row r="5" spans="1:9" x14ac:dyDescent="0.35">
      <c r="C5" s="11">
        <v>46025</v>
      </c>
    </row>
    <row r="6" spans="1:9" x14ac:dyDescent="0.35">
      <c r="C6" s="11">
        <v>46026</v>
      </c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C9" s="11">
        <v>46029</v>
      </c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C17" s="11">
        <v>46037</v>
      </c>
    </row>
    <row r="18" spans="1:9" x14ac:dyDescent="0.35">
      <c r="C18" s="11">
        <v>46038</v>
      </c>
    </row>
    <row r="19" spans="1:9" x14ac:dyDescent="0.35">
      <c r="C19" s="11">
        <v>46039</v>
      </c>
    </row>
    <row r="20" spans="1:9" x14ac:dyDescent="0.35">
      <c r="C20" s="11">
        <v>46040</v>
      </c>
    </row>
    <row r="21" spans="1:9" x14ac:dyDescent="0.35">
      <c r="A21" s="11">
        <v>45884</v>
      </c>
      <c r="B21" s="1">
        <v>77</v>
      </c>
      <c r="C21" s="11">
        <v>46041</v>
      </c>
      <c r="D21"/>
      <c r="E21"/>
      <c r="F21"/>
      <c r="G21"/>
      <c r="H21"/>
      <c r="I21"/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</row>
    <row r="27" spans="1:9" x14ac:dyDescent="0.35">
      <c r="C27" s="11">
        <v>46047</v>
      </c>
    </row>
    <row r="28" spans="1:9" x14ac:dyDescent="0.35">
      <c r="C28" s="11">
        <v>46048</v>
      </c>
    </row>
    <row r="29" spans="1:9" x14ac:dyDescent="0.35">
      <c r="C29" s="11">
        <v>46049</v>
      </c>
    </row>
    <row r="30" spans="1:9" x14ac:dyDescent="0.35">
      <c r="C30" s="11">
        <v>46050</v>
      </c>
    </row>
    <row r="31" spans="1:9" x14ac:dyDescent="0.35">
      <c r="C31" s="11">
        <v>46051</v>
      </c>
    </row>
    <row r="32" spans="1:9" x14ac:dyDescent="0.35">
      <c r="C32" s="11">
        <v>46052</v>
      </c>
    </row>
    <row r="33" spans="3:3" x14ac:dyDescent="0.35">
      <c r="C33" s="11">
        <v>46053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B7BB-2E14-464A-9526-B97374D7C7CC}">
  <dimension ref="A1:I33"/>
  <sheetViews>
    <sheetView workbookViewId="0">
      <selection activeCell="A5" sqref="A5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1</v>
      </c>
      <c r="E1" s="7">
        <f>E3+E4+E5+E6+E7+E8+E9+E10+E11+E12+E13+E14+E15+E16+E17+E18+E19+E20+E21+E22+E23+E24+E25+E26+E27+E28+E29+E30+E31+E32+E33</f>
        <v>665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1</v>
      </c>
      <c r="I1" s="7">
        <f t="shared" si="0"/>
        <v>665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A4" s="11">
        <v>46018</v>
      </c>
      <c r="B4" s="1">
        <v>207</v>
      </c>
      <c r="C4" s="11">
        <v>46024</v>
      </c>
      <c r="D4">
        <v>1</v>
      </c>
      <c r="E4">
        <v>665</v>
      </c>
      <c r="F4">
        <v>0</v>
      </c>
      <c r="G4">
        <v>0</v>
      </c>
      <c r="H4">
        <v>1</v>
      </c>
      <c r="I4">
        <v>665</v>
      </c>
    </row>
    <row r="5" spans="1:9" x14ac:dyDescent="0.35">
      <c r="C5" s="11">
        <v>46025</v>
      </c>
    </row>
    <row r="6" spans="1:9" x14ac:dyDescent="0.35">
      <c r="C6" s="11">
        <v>46026</v>
      </c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C9" s="11">
        <v>46029</v>
      </c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3:9" x14ac:dyDescent="0.35">
      <c r="C17" s="11">
        <v>46037</v>
      </c>
      <c r="D17"/>
      <c r="E17"/>
      <c r="F17"/>
      <c r="G17"/>
      <c r="H17"/>
      <c r="I17"/>
    </row>
    <row r="18" spans="3:9" x14ac:dyDescent="0.35">
      <c r="C18" s="11">
        <v>46038</v>
      </c>
    </row>
    <row r="19" spans="3:9" x14ac:dyDescent="0.35">
      <c r="C19" s="11">
        <v>46039</v>
      </c>
      <c r="D19"/>
      <c r="E19"/>
      <c r="F19"/>
      <c r="G19"/>
      <c r="H19"/>
      <c r="I19"/>
    </row>
    <row r="20" spans="3:9" x14ac:dyDescent="0.35">
      <c r="C20" s="11">
        <v>46040</v>
      </c>
    </row>
    <row r="21" spans="3:9" x14ac:dyDescent="0.35">
      <c r="C21" s="11">
        <v>46041</v>
      </c>
    </row>
    <row r="22" spans="3:9" x14ac:dyDescent="0.35">
      <c r="C22" s="11">
        <v>46042</v>
      </c>
    </row>
    <row r="23" spans="3:9" x14ac:dyDescent="0.35">
      <c r="C23" s="11">
        <v>46043</v>
      </c>
    </row>
    <row r="24" spans="3:9" x14ac:dyDescent="0.35">
      <c r="C24" s="11">
        <v>46044</v>
      </c>
    </row>
    <row r="25" spans="3:9" x14ac:dyDescent="0.35">
      <c r="C25" s="11">
        <v>46045</v>
      </c>
    </row>
    <row r="26" spans="3:9" x14ac:dyDescent="0.35">
      <c r="C26" s="11">
        <v>46046</v>
      </c>
    </row>
    <row r="27" spans="3:9" x14ac:dyDescent="0.35">
      <c r="C27" s="11">
        <v>46047</v>
      </c>
    </row>
    <row r="28" spans="3:9" x14ac:dyDescent="0.35">
      <c r="C28" s="11">
        <v>46048</v>
      </c>
    </row>
    <row r="29" spans="3:9" x14ac:dyDescent="0.35">
      <c r="C29" s="11">
        <v>46049</v>
      </c>
    </row>
    <row r="30" spans="3:9" x14ac:dyDescent="0.35">
      <c r="C30" s="11">
        <v>46050</v>
      </c>
    </row>
    <row r="31" spans="3:9" x14ac:dyDescent="0.35">
      <c r="C31" s="11">
        <v>46051</v>
      </c>
    </row>
    <row r="32" spans="3:9" x14ac:dyDescent="0.35">
      <c r="C32" s="11">
        <v>46052</v>
      </c>
    </row>
    <row r="33" spans="3:3" x14ac:dyDescent="0.35">
      <c r="C33" s="11">
        <v>46053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D5AB-26DF-41FF-8B89-8001843F6D72}">
  <dimension ref="A1:O33"/>
  <sheetViews>
    <sheetView workbookViewId="0">
      <pane ySplit="2" topLeftCell="A24" activePane="bottomLeft" state="frozen"/>
      <selection pane="bottomLeft" activeCell="I1" activeCellId="1" sqref="E1 I1"/>
    </sheetView>
  </sheetViews>
  <sheetFormatPr defaultRowHeight="14.5" x14ac:dyDescent="0.35"/>
  <cols>
    <col min="1" max="1" width="13.453125" style="11" bestFit="1" customWidth="1"/>
    <col min="2" max="2" width="13.453125" style="1" bestFit="1" customWidth="1"/>
    <col min="3" max="3" width="11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  <col min="13" max="13" width="11.08984375" bestFit="1" customWidth="1"/>
    <col min="15" max="15" width="12.08984375" bestFit="1" customWidth="1"/>
  </cols>
  <sheetData>
    <row r="1" spans="1:9" x14ac:dyDescent="0.35">
      <c r="D1" s="6">
        <f>D3+D4+D5+D6+D7+D8+D9+D10+D11+D12+D13+D14+D15+D16+D17+D18+D19+D20+D21+D22+D23+D24+D25+D26+D27+D28+D29+D30+D31+D32+D33</f>
        <v>892</v>
      </c>
      <c r="E1" s="7">
        <f t="shared" ref="E1:I1" si="0">E3+E4+E5+E6+E7+E8+E9+E10+E11+E12+E13+E14+E15+E16+E17+E18+E19+E20+E21+E22+E23+E24+E25+E26+E27+E28+E29+E30+E31+E32+E33</f>
        <v>959816.5</v>
      </c>
      <c r="F1" s="6">
        <f t="shared" si="0"/>
        <v>0</v>
      </c>
      <c r="G1" s="6">
        <f t="shared" si="0"/>
        <v>0</v>
      </c>
      <c r="H1" s="6">
        <f t="shared" si="0"/>
        <v>892</v>
      </c>
      <c r="I1" s="7">
        <f t="shared" si="0"/>
        <v>959816.5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A4" s="11">
        <v>46018</v>
      </c>
      <c r="B4" s="1" t="s">
        <v>40</v>
      </c>
      <c r="C4" s="11">
        <v>46024</v>
      </c>
      <c r="D4">
        <v>292</v>
      </c>
      <c r="E4">
        <v>313331.75</v>
      </c>
      <c r="F4">
        <v>0</v>
      </c>
      <c r="G4">
        <v>0</v>
      </c>
      <c r="H4">
        <v>292</v>
      </c>
      <c r="I4">
        <v>313331.75</v>
      </c>
    </row>
    <row r="5" spans="1:9" x14ac:dyDescent="0.35">
      <c r="A5" s="11">
        <v>46021</v>
      </c>
      <c r="B5" s="1">
        <v>593</v>
      </c>
      <c r="C5" s="11">
        <v>46025</v>
      </c>
      <c r="D5">
        <v>19</v>
      </c>
      <c r="E5">
        <v>22109</v>
      </c>
      <c r="F5">
        <v>0</v>
      </c>
      <c r="G5">
        <v>0</v>
      </c>
      <c r="H5">
        <v>19</v>
      </c>
      <c r="I5">
        <v>22109</v>
      </c>
    </row>
    <row r="6" spans="1:9" x14ac:dyDescent="0.35">
      <c r="C6" s="11">
        <v>46026</v>
      </c>
      <c r="D6"/>
      <c r="E6"/>
      <c r="F6"/>
      <c r="G6"/>
      <c r="H6"/>
      <c r="I6"/>
    </row>
    <row r="7" spans="1:9" x14ac:dyDescent="0.35">
      <c r="A7" s="11">
        <v>46021</v>
      </c>
      <c r="B7" s="1">
        <v>593</v>
      </c>
      <c r="C7" s="11">
        <v>46027</v>
      </c>
      <c r="D7">
        <v>37</v>
      </c>
      <c r="E7">
        <v>43742</v>
      </c>
      <c r="F7">
        <v>0</v>
      </c>
      <c r="G7">
        <v>0</v>
      </c>
      <c r="H7">
        <v>37</v>
      </c>
      <c r="I7">
        <v>43742</v>
      </c>
    </row>
    <row r="8" spans="1:9" x14ac:dyDescent="0.35">
      <c r="A8" s="11">
        <v>46024</v>
      </c>
      <c r="B8" s="1">
        <v>594</v>
      </c>
      <c r="C8" s="11">
        <v>46028</v>
      </c>
      <c r="D8">
        <v>6</v>
      </c>
      <c r="E8">
        <v>6578</v>
      </c>
      <c r="F8">
        <v>0</v>
      </c>
      <c r="G8">
        <v>0</v>
      </c>
      <c r="H8">
        <v>6</v>
      </c>
      <c r="I8">
        <v>6578</v>
      </c>
    </row>
    <row r="9" spans="1:9" x14ac:dyDescent="0.35">
      <c r="A9" s="11">
        <v>46024</v>
      </c>
      <c r="B9" s="1">
        <v>594</v>
      </c>
      <c r="C9" s="11">
        <v>46029</v>
      </c>
      <c r="D9">
        <v>29</v>
      </c>
      <c r="E9">
        <v>35766</v>
      </c>
      <c r="F9">
        <v>0</v>
      </c>
      <c r="G9">
        <v>0</v>
      </c>
      <c r="H9">
        <v>29</v>
      </c>
      <c r="I9">
        <v>35766</v>
      </c>
    </row>
    <row r="10" spans="1:9" x14ac:dyDescent="0.35">
      <c r="A10" s="11">
        <v>46024</v>
      </c>
      <c r="B10" s="1">
        <v>594</v>
      </c>
      <c r="C10" s="11">
        <v>46030</v>
      </c>
      <c r="D10">
        <v>3</v>
      </c>
      <c r="E10">
        <v>3446</v>
      </c>
      <c r="F10">
        <v>0</v>
      </c>
      <c r="G10">
        <v>0</v>
      </c>
      <c r="H10">
        <v>3</v>
      </c>
      <c r="I10">
        <v>3446</v>
      </c>
    </row>
    <row r="11" spans="1:9" x14ac:dyDescent="0.35">
      <c r="C11" s="11">
        <v>46031</v>
      </c>
      <c r="D11"/>
      <c r="E11"/>
      <c r="F11"/>
      <c r="G11"/>
      <c r="H11"/>
      <c r="I11"/>
    </row>
    <row r="12" spans="1:9" x14ac:dyDescent="0.35">
      <c r="A12" s="11">
        <v>46028</v>
      </c>
      <c r="B12" s="1">
        <v>595</v>
      </c>
      <c r="C12" s="11">
        <v>46032</v>
      </c>
      <c r="D12">
        <v>6</v>
      </c>
      <c r="E12">
        <v>6937</v>
      </c>
      <c r="F12">
        <v>0</v>
      </c>
      <c r="G12">
        <v>0</v>
      </c>
      <c r="H12">
        <v>6</v>
      </c>
      <c r="I12">
        <v>6937</v>
      </c>
    </row>
    <row r="13" spans="1:9" x14ac:dyDescent="0.35">
      <c r="C13" s="11">
        <v>46033</v>
      </c>
      <c r="D13"/>
      <c r="E13"/>
      <c r="F13"/>
      <c r="G13"/>
      <c r="H13"/>
      <c r="I13"/>
    </row>
    <row r="14" spans="1:9" x14ac:dyDescent="0.35">
      <c r="A14" s="11">
        <v>46028</v>
      </c>
      <c r="B14" s="1">
        <v>595</v>
      </c>
      <c r="C14" s="11">
        <v>46034</v>
      </c>
      <c r="D14">
        <v>2</v>
      </c>
      <c r="E14">
        <v>1560</v>
      </c>
      <c r="F14">
        <v>0</v>
      </c>
      <c r="G14">
        <v>0</v>
      </c>
      <c r="H14">
        <v>2</v>
      </c>
      <c r="I14">
        <v>1560</v>
      </c>
    </row>
    <row r="15" spans="1:9" x14ac:dyDescent="0.35">
      <c r="C15" s="11">
        <v>46035</v>
      </c>
      <c r="D15"/>
      <c r="E15"/>
      <c r="F15"/>
      <c r="G15"/>
      <c r="H15"/>
      <c r="I15"/>
    </row>
    <row r="16" spans="1:9" x14ac:dyDescent="0.35">
      <c r="A16" s="11">
        <v>46031</v>
      </c>
      <c r="B16" s="1">
        <v>596</v>
      </c>
      <c r="C16" s="11">
        <v>46036</v>
      </c>
      <c r="D16">
        <v>23</v>
      </c>
      <c r="E16">
        <v>24491</v>
      </c>
      <c r="F16">
        <v>0</v>
      </c>
      <c r="G16">
        <v>0</v>
      </c>
      <c r="H16">
        <v>23</v>
      </c>
      <c r="I16">
        <v>24491</v>
      </c>
    </row>
    <row r="17" spans="1:15" x14ac:dyDescent="0.35">
      <c r="A17" s="11">
        <v>46031</v>
      </c>
      <c r="B17" s="1">
        <v>596</v>
      </c>
      <c r="C17" s="11">
        <v>46037</v>
      </c>
      <c r="D17">
        <v>29</v>
      </c>
      <c r="E17">
        <v>24920</v>
      </c>
      <c r="F17">
        <v>0</v>
      </c>
      <c r="G17">
        <v>0</v>
      </c>
      <c r="H17">
        <v>29</v>
      </c>
      <c r="I17">
        <v>24920</v>
      </c>
    </row>
    <row r="18" spans="1:15" x14ac:dyDescent="0.35">
      <c r="A18" s="11">
        <v>46035</v>
      </c>
      <c r="B18" s="1">
        <v>597</v>
      </c>
      <c r="C18" s="11">
        <v>46038</v>
      </c>
      <c r="D18">
        <v>3</v>
      </c>
      <c r="E18">
        <v>4044</v>
      </c>
      <c r="F18">
        <v>0</v>
      </c>
      <c r="G18">
        <v>0</v>
      </c>
      <c r="H18">
        <v>3</v>
      </c>
      <c r="I18">
        <v>4044</v>
      </c>
    </row>
    <row r="19" spans="1:15" x14ac:dyDescent="0.35">
      <c r="A19" s="11">
        <v>46035</v>
      </c>
      <c r="B19" s="1">
        <v>597</v>
      </c>
      <c r="C19" s="11">
        <v>46039</v>
      </c>
      <c r="D19">
        <v>7</v>
      </c>
      <c r="E19">
        <v>11785</v>
      </c>
      <c r="F19">
        <v>0</v>
      </c>
      <c r="G19">
        <v>0</v>
      </c>
      <c r="H19">
        <v>7</v>
      </c>
      <c r="I19">
        <v>11785</v>
      </c>
    </row>
    <row r="20" spans="1:15" x14ac:dyDescent="0.35">
      <c r="C20" s="11">
        <v>46040</v>
      </c>
      <c r="D20"/>
      <c r="E20"/>
      <c r="F20"/>
      <c r="G20"/>
      <c r="H20"/>
      <c r="I20"/>
    </row>
    <row r="21" spans="1:15" x14ac:dyDescent="0.35">
      <c r="C21" s="11">
        <v>46041</v>
      </c>
      <c r="D21"/>
      <c r="E21"/>
      <c r="F21"/>
      <c r="G21"/>
      <c r="H21"/>
      <c r="I21"/>
    </row>
    <row r="22" spans="1:15" x14ac:dyDescent="0.35">
      <c r="A22" s="11">
        <v>46041</v>
      </c>
      <c r="B22" s="1">
        <v>598</v>
      </c>
      <c r="C22" s="11">
        <v>46042</v>
      </c>
      <c r="D22">
        <v>11</v>
      </c>
      <c r="E22">
        <v>12974</v>
      </c>
      <c r="F22">
        <v>0</v>
      </c>
      <c r="G22">
        <v>0</v>
      </c>
      <c r="H22">
        <v>11</v>
      </c>
      <c r="I22">
        <v>12974</v>
      </c>
    </row>
    <row r="23" spans="1:15" x14ac:dyDescent="0.35">
      <c r="A23" s="11">
        <v>46041</v>
      </c>
      <c r="B23" s="1">
        <v>598</v>
      </c>
      <c r="C23" s="11">
        <v>46043</v>
      </c>
      <c r="D23">
        <v>3</v>
      </c>
      <c r="E23">
        <v>3557</v>
      </c>
      <c r="F23">
        <v>0</v>
      </c>
      <c r="G23">
        <v>0</v>
      </c>
      <c r="H23">
        <v>3</v>
      </c>
      <c r="I23">
        <v>3557</v>
      </c>
    </row>
    <row r="24" spans="1:15" x14ac:dyDescent="0.35">
      <c r="C24" s="11">
        <v>46044</v>
      </c>
      <c r="D24"/>
      <c r="E24"/>
      <c r="F24"/>
      <c r="G24"/>
      <c r="H24"/>
      <c r="I24"/>
      <c r="M24" s="17"/>
    </row>
    <row r="25" spans="1:15" x14ac:dyDescent="0.35">
      <c r="C25" s="11">
        <v>46045</v>
      </c>
      <c r="D25"/>
      <c r="E25"/>
      <c r="F25"/>
      <c r="G25"/>
      <c r="H25"/>
      <c r="I25"/>
    </row>
    <row r="26" spans="1:15" x14ac:dyDescent="0.35">
      <c r="A26" s="11">
        <v>46045</v>
      </c>
      <c r="B26" s="1">
        <v>599</v>
      </c>
      <c r="C26" s="11">
        <v>46046</v>
      </c>
      <c r="D26">
        <v>29</v>
      </c>
      <c r="E26">
        <v>36541</v>
      </c>
      <c r="F26">
        <v>0</v>
      </c>
      <c r="G26">
        <v>0</v>
      </c>
      <c r="H26">
        <v>29</v>
      </c>
      <c r="I26">
        <v>36541</v>
      </c>
    </row>
    <row r="27" spans="1:15" x14ac:dyDescent="0.35">
      <c r="C27" s="11">
        <v>46047</v>
      </c>
      <c r="O27" s="17"/>
    </row>
    <row r="28" spans="1:15" x14ac:dyDescent="0.35">
      <c r="A28" s="11">
        <v>46045</v>
      </c>
      <c r="B28" s="1">
        <v>599</v>
      </c>
      <c r="C28" s="11">
        <v>46048</v>
      </c>
      <c r="D28">
        <v>143</v>
      </c>
      <c r="E28">
        <v>159576</v>
      </c>
      <c r="F28">
        <v>0</v>
      </c>
      <c r="G28">
        <v>0</v>
      </c>
      <c r="H28">
        <v>143</v>
      </c>
      <c r="I28">
        <v>159576</v>
      </c>
    </row>
    <row r="29" spans="1:15" x14ac:dyDescent="0.35">
      <c r="A29" s="11">
        <v>46045</v>
      </c>
      <c r="B29" s="1">
        <v>599</v>
      </c>
      <c r="C29" s="11">
        <v>46049</v>
      </c>
      <c r="D29">
        <v>35</v>
      </c>
      <c r="E29">
        <v>29716</v>
      </c>
      <c r="F29">
        <v>0</v>
      </c>
      <c r="G29">
        <v>0</v>
      </c>
      <c r="H29">
        <v>35</v>
      </c>
      <c r="I29">
        <v>29716</v>
      </c>
    </row>
    <row r="30" spans="1:15" x14ac:dyDescent="0.35">
      <c r="A30" s="11">
        <v>46045</v>
      </c>
      <c r="B30" s="1">
        <v>599</v>
      </c>
      <c r="C30" s="11">
        <v>46050</v>
      </c>
      <c r="D30">
        <v>63</v>
      </c>
      <c r="E30">
        <v>57179</v>
      </c>
      <c r="F30">
        <v>0</v>
      </c>
      <c r="G30">
        <v>0</v>
      </c>
      <c r="H30">
        <v>63</v>
      </c>
      <c r="I30">
        <v>57179</v>
      </c>
    </row>
    <row r="31" spans="1:15" x14ac:dyDescent="0.35">
      <c r="A31" s="11">
        <v>46045</v>
      </c>
      <c r="B31" s="1">
        <v>599</v>
      </c>
      <c r="C31" s="11">
        <v>46051</v>
      </c>
      <c r="D31">
        <v>12</v>
      </c>
      <c r="E31">
        <v>11770</v>
      </c>
      <c r="F31">
        <v>0</v>
      </c>
      <c r="G31">
        <v>0</v>
      </c>
      <c r="H31">
        <v>12</v>
      </c>
      <c r="I31">
        <v>11770</v>
      </c>
    </row>
    <row r="32" spans="1:15" x14ac:dyDescent="0.35">
      <c r="A32" s="11">
        <v>46050</v>
      </c>
      <c r="B32" s="1">
        <v>600</v>
      </c>
      <c r="C32" s="11">
        <v>46052</v>
      </c>
      <c r="D32">
        <v>56</v>
      </c>
      <c r="E32">
        <v>56392.75</v>
      </c>
      <c r="F32">
        <v>0</v>
      </c>
      <c r="G32">
        <v>0</v>
      </c>
      <c r="H32">
        <v>56</v>
      </c>
      <c r="I32">
        <v>56392.75</v>
      </c>
    </row>
    <row r="33" spans="1:9" x14ac:dyDescent="0.35">
      <c r="A33" s="11">
        <v>46050</v>
      </c>
      <c r="B33" s="1">
        <v>600</v>
      </c>
      <c r="C33" s="11">
        <v>46053</v>
      </c>
      <c r="D33">
        <v>84</v>
      </c>
      <c r="E33">
        <v>93401</v>
      </c>
      <c r="F33">
        <v>0</v>
      </c>
      <c r="G33">
        <v>0</v>
      </c>
      <c r="H33">
        <v>84</v>
      </c>
      <c r="I33">
        <v>93401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39EE-EC06-4973-BE7D-EA767A6D8687}">
  <dimension ref="A1:I33"/>
  <sheetViews>
    <sheetView workbookViewId="0">
      <selection activeCell="E1" sqref="E1:I1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2.81640625" style="11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4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D3+D4+D5+D6+D7+D8+D9+D10+D11+D12+D13+D14+D15+D16+D17+D18+D19+D20+D21+D22+D23+D24+D25+D26+D27+D28+D29+D30+D31+D33+D32</f>
        <v>2</v>
      </c>
      <c r="E1" s="7">
        <f>E3+E4+E5+E6+E7+E8+E9+E10+E11+E12+E13+E14+E15+E16+E17+E18+E19+E20+E21+E22+E23+E24+E25+E26+E27+E28+E29+E30+E31+E32+E33</f>
        <v>999</v>
      </c>
      <c r="F1" s="7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7">
        <f t="shared" si="0"/>
        <v>2</v>
      </c>
      <c r="I1" s="7">
        <f t="shared" si="0"/>
        <v>999</v>
      </c>
    </row>
    <row r="2" spans="1:9" x14ac:dyDescent="0.35">
      <c r="A2" s="11" t="s">
        <v>0</v>
      </c>
      <c r="B2" s="1" t="s">
        <v>1</v>
      </c>
      <c r="C2" s="11" t="s">
        <v>2</v>
      </c>
      <c r="D2" s="3" t="s">
        <v>3</v>
      </c>
      <c r="E2" s="2" t="s">
        <v>4</v>
      </c>
      <c r="F2" s="12" t="s">
        <v>5</v>
      </c>
      <c r="G2" s="14" t="s">
        <v>6</v>
      </c>
      <c r="H2" s="3" t="s">
        <v>7</v>
      </c>
      <c r="I2" s="2" t="s">
        <v>8</v>
      </c>
    </row>
    <row r="3" spans="1:9" x14ac:dyDescent="0.35">
      <c r="C3" s="11">
        <v>46023</v>
      </c>
      <c r="D3"/>
      <c r="E3"/>
      <c r="F3"/>
      <c r="G3"/>
      <c r="H3"/>
      <c r="I3"/>
    </row>
    <row r="4" spans="1:9" x14ac:dyDescent="0.35">
      <c r="A4" s="11">
        <v>46021</v>
      </c>
      <c r="B4" s="1">
        <v>205</v>
      </c>
      <c r="C4" s="11">
        <v>46024</v>
      </c>
      <c r="D4">
        <v>1</v>
      </c>
      <c r="E4">
        <v>674</v>
      </c>
      <c r="F4">
        <v>0</v>
      </c>
      <c r="G4">
        <v>0</v>
      </c>
      <c r="H4">
        <v>1</v>
      </c>
      <c r="I4">
        <v>674</v>
      </c>
    </row>
    <row r="5" spans="1:9" x14ac:dyDescent="0.35">
      <c r="C5" s="11">
        <v>46025</v>
      </c>
      <c r="D5"/>
      <c r="E5"/>
      <c r="F5"/>
      <c r="G5"/>
      <c r="H5"/>
      <c r="I5"/>
    </row>
    <row r="6" spans="1:9" x14ac:dyDescent="0.35">
      <c r="C6" s="11">
        <v>46026</v>
      </c>
      <c r="G6" s="15"/>
    </row>
    <row r="7" spans="1:9" x14ac:dyDescent="0.35">
      <c r="C7" s="11">
        <v>46027</v>
      </c>
      <c r="G7" s="15"/>
    </row>
    <row r="8" spans="1:9" x14ac:dyDescent="0.35">
      <c r="C8" s="11">
        <v>46028</v>
      </c>
      <c r="G8" s="15"/>
    </row>
    <row r="9" spans="1:9" x14ac:dyDescent="0.35">
      <c r="C9" s="11">
        <v>46029</v>
      </c>
      <c r="G9" s="13"/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C17" s="11">
        <v>46037</v>
      </c>
    </row>
    <row r="18" spans="1:9" x14ac:dyDescent="0.35">
      <c r="C18" s="11">
        <v>46038</v>
      </c>
    </row>
    <row r="19" spans="1:9" x14ac:dyDescent="0.35">
      <c r="C19" s="11">
        <v>46039</v>
      </c>
    </row>
    <row r="20" spans="1:9" x14ac:dyDescent="0.35">
      <c r="C20" s="11">
        <v>46040</v>
      </c>
    </row>
    <row r="21" spans="1:9" x14ac:dyDescent="0.35">
      <c r="C21" s="11">
        <v>46041</v>
      </c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</row>
    <row r="27" spans="1:9" x14ac:dyDescent="0.35">
      <c r="C27" s="11">
        <v>46047</v>
      </c>
    </row>
    <row r="28" spans="1:9" x14ac:dyDescent="0.35">
      <c r="C28" s="11">
        <v>46048</v>
      </c>
    </row>
    <row r="29" spans="1:9" x14ac:dyDescent="0.35">
      <c r="C29" s="11">
        <v>46049</v>
      </c>
    </row>
    <row r="30" spans="1:9" x14ac:dyDescent="0.35">
      <c r="C30" s="11">
        <v>46050</v>
      </c>
    </row>
    <row r="31" spans="1:9" x14ac:dyDescent="0.35">
      <c r="C31" s="11">
        <v>46051</v>
      </c>
    </row>
    <row r="32" spans="1:9" x14ac:dyDescent="0.35">
      <c r="A32" s="11">
        <v>46050</v>
      </c>
      <c r="B32" s="1">
        <v>206</v>
      </c>
      <c r="C32" s="11">
        <v>46052</v>
      </c>
      <c r="D32">
        <v>1</v>
      </c>
      <c r="E32">
        <v>325</v>
      </c>
      <c r="F32">
        <v>0</v>
      </c>
      <c r="G32">
        <v>0</v>
      </c>
      <c r="H32">
        <v>1</v>
      </c>
      <c r="I32">
        <v>325</v>
      </c>
    </row>
    <row r="33" spans="3:3" x14ac:dyDescent="0.35">
      <c r="C33" s="11">
        <v>46053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007A-D179-4D62-B946-623BF5F6A2BE}">
  <dimension ref="A1:I33"/>
  <sheetViews>
    <sheetView workbookViewId="0">
      <pane ySplit="2" topLeftCell="A19" activePane="bottomLeft" state="frozen"/>
      <selection pane="bottomLeft" activeCell="B33" sqref="B33"/>
    </sheetView>
  </sheetViews>
  <sheetFormatPr defaultRowHeight="14.5" x14ac:dyDescent="0.35"/>
  <cols>
    <col min="1" max="1" width="13.453125" style="11" bestFit="1" customWidth="1"/>
    <col min="2" max="2" width="13.453125" style="1" customWidth="1"/>
    <col min="3" max="3" width="11" style="10" bestFit="1" customWidth="1"/>
    <col min="4" max="4" width="15.6328125" style="3" bestFit="1" customWidth="1"/>
    <col min="5" max="5" width="19.08984375" style="2" bestFit="1" customWidth="1"/>
    <col min="6" max="6" width="18.81640625" style="12" bestFit="1" customWidth="1"/>
    <col min="7" max="7" width="13.36328125" style="13" bestFit="1" customWidth="1"/>
    <col min="8" max="8" width="19.36328125" style="3" bestFit="1" customWidth="1"/>
    <col min="9" max="9" width="13.90625" style="2" bestFit="1" customWidth="1"/>
  </cols>
  <sheetData>
    <row r="1" spans="1:9" x14ac:dyDescent="0.35">
      <c r="D1" s="6">
        <f>D3+D4+D5+D6+D7+D8+D9+D10+D11+D12+D13+D14+D15+D16+D17+D18+D19+D20+D21+D22+D23+D24+D25+D26+D27+D28+D29+D30+D31+D32+D33</f>
        <v>2</v>
      </c>
      <c r="E1" s="7">
        <f>E3+E4+E5+E6+E7+E8+E9+E10+E11+E12+E13+E14+E15+E16+E17+E18+E19+E20+E21+E22+E23+E24+E25+E26+E27+E28+E29+E30+E31+E32+E33</f>
        <v>1280</v>
      </c>
      <c r="F1" s="6">
        <f t="shared" ref="F1:I1" si="0">F3+F4+F5+F6+F7+F8+F9+F10+F11+F12+F13+F14+F15+F16+F17+F18+F19+F20+F21+F22+F23+F24+F25+F26+F27+F28+F29+F30+F31+F32+F33</f>
        <v>0</v>
      </c>
      <c r="G1" s="7">
        <f t="shared" si="0"/>
        <v>0</v>
      </c>
      <c r="H1" s="6">
        <f t="shared" si="0"/>
        <v>2</v>
      </c>
      <c r="I1" s="7">
        <f t="shared" si="0"/>
        <v>1280</v>
      </c>
    </row>
    <row r="2" spans="1:9" x14ac:dyDescent="0.35">
      <c r="A2" s="11" t="s">
        <v>0</v>
      </c>
      <c r="B2" s="1" t="s">
        <v>1</v>
      </c>
      <c r="C2" s="10" t="s">
        <v>2</v>
      </c>
      <c r="D2" s="3" t="s">
        <v>3</v>
      </c>
      <c r="E2" s="2" t="s">
        <v>4</v>
      </c>
      <c r="F2" s="12" t="s">
        <v>5</v>
      </c>
      <c r="G2" s="13" t="s">
        <v>6</v>
      </c>
      <c r="H2" s="3" t="s">
        <v>7</v>
      </c>
      <c r="I2" s="2" t="s">
        <v>8</v>
      </c>
    </row>
    <row r="3" spans="1:9" x14ac:dyDescent="0.35">
      <c r="A3" s="11">
        <v>45988</v>
      </c>
      <c r="B3" s="1">
        <v>124</v>
      </c>
      <c r="C3" s="11">
        <v>46023</v>
      </c>
      <c r="D3"/>
      <c r="E3"/>
      <c r="F3"/>
      <c r="G3"/>
      <c r="H3"/>
      <c r="I3"/>
    </row>
    <row r="4" spans="1:9" x14ac:dyDescent="0.35">
      <c r="C4" s="11">
        <v>46024</v>
      </c>
    </row>
    <row r="5" spans="1:9" x14ac:dyDescent="0.35">
      <c r="C5" s="11">
        <v>46025</v>
      </c>
    </row>
    <row r="6" spans="1:9" x14ac:dyDescent="0.35">
      <c r="C6" s="11">
        <v>46026</v>
      </c>
    </row>
    <row r="7" spans="1:9" x14ac:dyDescent="0.35">
      <c r="C7" s="11">
        <v>46027</v>
      </c>
    </row>
    <row r="8" spans="1:9" x14ac:dyDescent="0.35">
      <c r="C8" s="11">
        <v>46028</v>
      </c>
    </row>
    <row r="9" spans="1:9" x14ac:dyDescent="0.35">
      <c r="C9" s="11">
        <v>46029</v>
      </c>
    </row>
    <row r="10" spans="1:9" x14ac:dyDescent="0.35">
      <c r="C10" s="11">
        <v>46030</v>
      </c>
    </row>
    <row r="11" spans="1:9" x14ac:dyDescent="0.35">
      <c r="C11" s="11">
        <v>46031</v>
      </c>
    </row>
    <row r="12" spans="1:9" x14ac:dyDescent="0.35">
      <c r="C12" s="11">
        <v>46032</v>
      </c>
    </row>
    <row r="13" spans="1:9" x14ac:dyDescent="0.35">
      <c r="C13" s="11">
        <v>46033</v>
      </c>
    </row>
    <row r="14" spans="1:9" x14ac:dyDescent="0.35">
      <c r="C14" s="11">
        <v>46034</v>
      </c>
    </row>
    <row r="15" spans="1:9" x14ac:dyDescent="0.35">
      <c r="C15" s="11">
        <v>46035</v>
      </c>
    </row>
    <row r="16" spans="1:9" x14ac:dyDescent="0.35">
      <c r="C16" s="11">
        <v>46036</v>
      </c>
    </row>
    <row r="17" spans="1:9" x14ac:dyDescent="0.35">
      <c r="C17" s="11">
        <v>46037</v>
      </c>
    </row>
    <row r="18" spans="1:9" x14ac:dyDescent="0.35">
      <c r="C18" s="11">
        <v>46038</v>
      </c>
    </row>
    <row r="19" spans="1:9" x14ac:dyDescent="0.35">
      <c r="C19" s="11">
        <v>46039</v>
      </c>
    </row>
    <row r="20" spans="1:9" x14ac:dyDescent="0.35">
      <c r="C20" s="11">
        <v>46040</v>
      </c>
    </row>
    <row r="21" spans="1:9" x14ac:dyDescent="0.35">
      <c r="C21" s="11">
        <v>46041</v>
      </c>
    </row>
    <row r="22" spans="1:9" x14ac:dyDescent="0.35">
      <c r="C22" s="11">
        <v>46042</v>
      </c>
    </row>
    <row r="23" spans="1:9" x14ac:dyDescent="0.35">
      <c r="C23" s="11">
        <v>46043</v>
      </c>
    </row>
    <row r="24" spans="1:9" x14ac:dyDescent="0.35">
      <c r="C24" s="11">
        <v>46044</v>
      </c>
    </row>
    <row r="25" spans="1:9" x14ac:dyDescent="0.35">
      <c r="C25" s="11">
        <v>46045</v>
      </c>
    </row>
    <row r="26" spans="1:9" x14ac:dyDescent="0.35">
      <c r="C26" s="11">
        <v>46046</v>
      </c>
    </row>
    <row r="27" spans="1:9" x14ac:dyDescent="0.35">
      <c r="C27" s="11">
        <v>46047</v>
      </c>
    </row>
    <row r="28" spans="1:9" x14ac:dyDescent="0.35">
      <c r="C28" s="11">
        <v>46048</v>
      </c>
    </row>
    <row r="29" spans="1:9" x14ac:dyDescent="0.35">
      <c r="C29" s="11">
        <v>46049</v>
      </c>
    </row>
    <row r="30" spans="1:9" x14ac:dyDescent="0.35">
      <c r="A30" s="11">
        <v>46045</v>
      </c>
      <c r="B30" s="1">
        <v>127</v>
      </c>
      <c r="C30" s="11">
        <v>46050</v>
      </c>
      <c r="D30">
        <v>1</v>
      </c>
      <c r="E30">
        <v>855</v>
      </c>
      <c r="F30">
        <v>0</v>
      </c>
      <c r="G30">
        <v>0</v>
      </c>
      <c r="H30">
        <v>1</v>
      </c>
      <c r="I30">
        <v>855</v>
      </c>
    </row>
    <row r="31" spans="1:9" x14ac:dyDescent="0.35">
      <c r="C31" s="11">
        <v>46051</v>
      </c>
      <c r="D31"/>
      <c r="E31"/>
      <c r="F31"/>
      <c r="G31"/>
      <c r="H31"/>
      <c r="I31"/>
    </row>
    <row r="32" spans="1:9" x14ac:dyDescent="0.35">
      <c r="C32" s="11">
        <v>46052</v>
      </c>
      <c r="D32"/>
      <c r="E32"/>
      <c r="F32"/>
      <c r="G32"/>
      <c r="H32"/>
      <c r="I32"/>
    </row>
    <row r="33" spans="1:9" x14ac:dyDescent="0.35">
      <c r="A33" s="11">
        <v>46050</v>
      </c>
      <c r="B33" s="1">
        <v>128</v>
      </c>
      <c r="C33" s="11">
        <v>46053</v>
      </c>
      <c r="D33">
        <v>1</v>
      </c>
      <c r="E33">
        <v>425</v>
      </c>
      <c r="F33">
        <v>0</v>
      </c>
      <c r="G33">
        <v>0</v>
      </c>
      <c r="H33">
        <v>1</v>
      </c>
      <c r="I33">
        <v>425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EBE94-B6BC-4DF3-B6CA-CEBC37FDBA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ACU</vt:lpstr>
      <vt:lpstr>AIB</vt:lpstr>
      <vt:lpstr>ARC</vt:lpstr>
      <vt:lpstr>AXS</vt:lpstr>
      <vt:lpstr>BOU</vt:lpstr>
      <vt:lpstr>BPO</vt:lpstr>
      <vt:lpstr>CSS</vt:lpstr>
      <vt:lpstr>MAM</vt:lpstr>
      <vt:lpstr>MED</vt:lpstr>
      <vt:lpstr>MEM</vt:lpstr>
      <vt:lpstr>MKT</vt:lpstr>
      <vt:lpstr>MTS</vt:lpstr>
      <vt:lpstr>NAV</vt:lpstr>
      <vt:lpstr>NUM{THR}</vt:lpstr>
      <vt:lpstr>PAR</vt:lpstr>
      <vt:lpstr>RAN</vt:lpstr>
      <vt:lpstr>RCO</vt:lpstr>
      <vt:lpstr>SA</vt:lpstr>
      <vt:lpstr>TFG</vt:lpstr>
      <vt:lpstr>TLD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Belinda Van Zyl [Day1 Health]</dc:creator>
  <cp:lastModifiedBy>Belinda Van Zyl [Day1 Health]</cp:lastModifiedBy>
  <dcterms:created xsi:type="dcterms:W3CDTF">2025-04-10T10:27:32Z</dcterms:created>
  <dcterms:modified xsi:type="dcterms:W3CDTF">2026-02-04T09:36:34Z</dcterms:modified>
</cp:coreProperties>
</file>